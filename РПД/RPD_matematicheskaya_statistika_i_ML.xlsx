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0a5d9ddcb424dc6" /></Relationships>
</file>

<file path=xl/workbook.xml><?xml version="1.0" encoding="utf-8"?>
<x:workbook xmlns:x="http://schemas.openxmlformats.org/spreadsheetml/2006/main">
  <x:sheets>
    <x:sheet xmlns:r="http://schemas.openxmlformats.org/officeDocument/2006/relationships" name="Таблица РПД" sheetId="1" r:id="Rd73932fcabe2405a"/>
    <x:sheet xmlns:r="http://schemas.openxmlformats.org/officeDocument/2006/relationships" name="Справочник КРМ" sheetId="2" r:id="R201a49863ebc433c"/>
  </x:sheets>
</x:workbook>
</file>

<file path=xl/sharedStrings.xml><?xml version="1.0" encoding="utf-8"?>
<x:sst xmlns:x="http://schemas.openxmlformats.org/spreadsheetml/2006/main"/>
</file>

<file path=xl/styles.xml><?xml version="1.0" encoding="utf-8"?>
<x:styleSheet xmlns:x="http://schemas.openxmlformats.org/spreadsheetml/2006/main">
  <x:fonts count="16">
    <x:font>
      <x:sz val="11"/>
      <x:name val="Carlito"/>
    </x:font>
    <x:font>
      <x:b/>
      <x:sz val="16"/>
      <x:color rgb="FFFFFFFF"/>
      <x:name val="Carlito"/>
    </x:font>
    <x:font>
      <x:b/>
      <x:sz val="12"/>
      <x:color rgb="FFFFFFFF"/>
      <x:name val="Carlito"/>
    </x:font>
    <x:font>
      <x:sz val="10"/>
      <x:color rgb="FF1F1F1F"/>
      <x:name val="Carlito"/>
    </x:font>
    <x:font>
      <x:i/>
      <x:sz val="9"/>
      <x:color rgb="FF404040"/>
      <x:name val="Carlito"/>
    </x:font>
    <x:font>
      <x:b/>
      <x:sz val="10"/>
      <x:color rgb="FFFFFFFF"/>
      <x:name val="Carlito"/>
    </x:font>
    <x:font>
      <x:sz val="9"/>
      <x:name val="Carlito"/>
    </x:font>
    <x:font>
      <x:b/>
      <x:sz val="10"/>
      <x:color rgb="FF1F4E78"/>
      <x:name val="Carlito"/>
    </x:font>
    <x:font>
      <x:b/>
      <x:sz val="10"/>
      <x:color rgb="FF7F6000"/>
      <x:name val="Carlito"/>
    </x:font>
    <x:font>
      <x:b/>
      <x:sz val="9"/>
      <x:color rgb="FFFFFFFF"/>
      <x:name val="Carlito"/>
    </x:font>
    <x:font>
      <x:b/>
      <x:sz val="10"/>
      <x:name val="Carlito"/>
    </x:font>
    <x:font>
      <x:b/>
      <x:sz val="9"/>
      <x:name val="Carlito"/>
    </x:font>
    <x:font>
      <x:b/>
      <x:sz val="15"/>
      <x:color rgb="FFFFFFFF"/>
      <x:name val="Carlito"/>
    </x:font>
    <x:font>
      <x:sz val="8"/>
      <x:name val="Carlito"/>
    </x:font>
    <x:font>
      <x:b/>
      <x:sz val="11"/>
      <x:color rgb="FF7F6000"/>
      <x:name val="Carlito"/>
    </x:font>
    <x:font>
      <x:b/>
      <x:sz val="11"/>
      <x:color rgb="FF1F4E78"/>
      <x:name val="Carlito"/>
    </x:font>
  </x:fonts>
  <x:fills count="12">
    <x:fill>
      <x:patternFill patternType="none"/>
    </x:fill>
    <x:fill>
      <x:patternFill patternType="gray125"/>
    </x:fill>
    <x:fill>
      <x:patternFill patternType="solid">
        <x:fgColor rgb="FF1F4E78"/>
      </x:patternFill>
    </x:fill>
    <x:fill>
      <x:patternFill patternType="solid">
        <x:fgColor rgb="FF2F75B5"/>
      </x:patternFill>
    </x:fill>
    <x:fill>
      <x:patternFill patternType="solid">
        <x:fgColor rgb="FFD9EAF7"/>
      </x:patternFill>
    </x:fill>
    <x:fill>
      <x:patternFill patternType="solid">
        <x:fgColor rgb="FFEDF4FB"/>
      </x:patternFill>
    </x:fill>
    <x:fill>
      <x:patternFill patternType="solid">
        <x:fgColor rgb="FF4472C4"/>
      </x:patternFill>
    </x:fill>
    <x:fill>
      <x:patternFill patternType="solid">
        <x:fgColor rgb="FFDDEBF7"/>
      </x:patternFill>
    </x:fill>
    <x:fill>
      <x:patternFill patternType="solid">
        <x:fgColor rgb="FFFFF2CC"/>
      </x:patternFill>
    </x:fill>
    <x:fill>
      <x:patternFill patternType="solid">
        <x:fgColor rgb="FF2F6B5F"/>
      </x:patternFill>
    </x:fill>
    <x:fill>
      <x:patternFill patternType="solid">
        <x:fgColor rgb="FFD9E2F3"/>
      </x:patternFill>
    </x:fill>
    <x:fill>
      <x:patternFill patternType="solid">
        <x:fgColor rgb="FFE7E6E6"/>
      </x:patternFill>
    </x:fill>
  </x:fills>
  <x:borders count="4">
    <x:border/>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s>
  <x:cellStyleXfs count="1">
    <x:xf numFmtId="0" fontId="0" fillId="0" borderId="0"/>
  </x:cellStyleXfs>
  <x:cellXfs count="194">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horizontal="center"/>
    </x:xf>
    <x:xf numFmtId="0" fontId="2" fillId="3" borderId="1" xfId="0" applyNumberFormat="1" applyFont="1" applyFill="1" applyBorder="1" applyAlignment="1">
      <x:alignment horizontal="center"/>
    </x:xf>
    <x:xf numFmtId="0" fontId="0" fillId="4" borderId="0" xfId="0" applyNumberFormat="1" applyFont="1" applyFill="1" applyBorder="1"/>
    <x:xf numFmtId="0" fontId="0" fillId="4"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horizontal="center"/>
    </x:xf>
    <x:xf numFmtId="0" fontId="3" fillId="4" borderId="1" xfId="0" applyNumberFormat="1" applyFont="1" applyFill="1" applyBorder="1" applyAlignment="1">
      <x:alignment horizontal="center"/>
    </x:xf>
    <x:xf numFmtId="0" fontId="3" fillId="4" borderId="0" xfId="0" applyNumberFormat="1" applyFont="1" applyFill="1" applyBorder="1" applyAlignment="1">
      <x:alignment horizontal="center" wrapText="1"/>
    </x:xf>
    <x:xf numFmtId="0" fontId="3" fillId="4" borderId="1" xfId="0" applyNumberFormat="1" applyFont="1" applyFill="1" applyBorder="1" applyAlignment="1">
      <x:alignment horizontal="center" wrapText="1"/>
    </x:xf>
    <x:xf numFmtId="0" fontId="0" fillId="5" borderId="0" xfId="0" applyNumberFormat="1" applyFont="1" applyFill="1" applyBorder="1"/>
    <x:xf numFmtId="0" fontId="0" fillId="5" borderId="1"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0" xfId="0" applyNumberFormat="1" applyFont="1" applyFill="1" applyBorder="1" applyAlignment="1">
      <x:alignment horizontal="center"/>
    </x:xf>
    <x:xf numFmtId="0" fontId="4" fillId="5" borderId="1" xfId="0" applyNumberFormat="1" applyFont="1" applyFill="1" applyBorder="1" applyAlignment="1">
      <x:alignment horizontal="center"/>
    </x:xf>
    <x:xf numFmtId="0" fontId="4" fillId="5" borderId="0" xfId="0" applyNumberFormat="1" applyFont="1" applyFill="1" applyBorder="1" applyAlignment="1">
      <x:alignment horizontal="center" wrapText="1"/>
    </x:xf>
    <x:xf numFmtId="0" fontId="4" fillId="5" borderId="1" xfId="0" applyNumberFormat="1" applyFont="1" applyFill="1" applyBorder="1" applyAlignment="1">
      <x:alignment horizontal="center" wrapText="1"/>
    </x:xf>
    <x:xf numFmtId="0" fontId="5" fillId="3" borderId="0" xfId="0" applyNumberFormat="1" applyFont="1" applyFill="1" applyBorder="1"/>
    <x:xf numFmtId="0" fontId="5" fillId="3" borderId="1" xfId="0" applyNumberFormat="1" applyFont="1" applyFill="1" applyBorder="1"/>
    <x:xf numFmtId="0" fontId="5" fillId="3" borderId="0" xfId="0" applyNumberFormat="1" applyFont="1" applyFill="1" applyBorder="1" applyAlignment="1">
      <x:alignment horizontal="center"/>
    </x:xf>
    <x:xf numFmtId="0" fontId="5" fillId="3" borderId="1" xfId="0" applyNumberFormat="1" applyFont="1" applyFill="1" applyBorder="1" applyAlignment="1">
      <x:alignment horizontal="center"/>
    </x:xf>
    <x:xf numFmtId="0" fontId="5" fillId="3" borderId="0" xfId="0" applyNumberFormat="1" applyFont="1" applyFill="1" applyBorder="1" applyAlignment="1">
      <x:alignment horizontal="center" vertical="center"/>
    </x:xf>
    <x:xf numFmtId="0" fontId="5" fillId="3" borderId="1" xfId="0" applyNumberFormat="1" applyFont="1" applyFill="1" applyBorder="1" applyAlignment="1">
      <x:alignment horizontal="center" vertical="center"/>
    </x:xf>
    <x:xf numFmtId="0" fontId="5" fillId="3" borderId="0" xfId="0" applyNumberFormat="1" applyFont="1" applyFill="1" applyBorder="1" applyAlignment="1">
      <x:alignment horizontal="center" vertical="center" wrapText="1"/>
    </x:xf>
    <x:xf numFmtId="0" fontId="5"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wrapText="1"/>
    </x:xf>
    <x:xf numFmtId="0" fontId="6" fillId="0" borderId="2" xfId="0" applyNumberFormat="1" applyFont="1" applyFill="1" applyBorder="1" applyAlignment="1">
      <x:alignment horizontal="center" vertical="top" wrapText="1"/>
    </x:xf>
    <x:xf numFmtId="0" fontId="6" fillId="0" borderId="3" xfId="0" applyNumberFormat="1" applyFont="1" applyFill="1" applyBorder="1" applyAlignment="1">
      <x:alignment horizontal="center" vertical="top" wrapText="1"/>
    </x:xf>
    <x:xf numFmtId="0" fontId="6" fillId="0" borderId="2" xfId="0" applyNumberFormat="1" applyFont="1" applyFill="1" applyBorder="1" applyAlignment="1">
      <x:alignment horizontal="center" vertical="center" wrapText="1"/>
    </x:xf>
    <x:xf numFmtId="0" fontId="6" fillId="0" borderId="3" xfId="0" applyNumberFormat="1" applyFont="1" applyFill="1" applyBorder="1" applyAlignment="1">
      <x:alignment horizontal="center" vertical="center" wrapText="1"/>
    </x:xf>
    <x:xf numFmtId="0" fontId="6" fillId="6" borderId="2" xfId="0" applyNumberFormat="1" applyFont="1" applyFill="1" applyBorder="1" applyAlignment="1">
      <x:alignment vertical="top" wrapText="1"/>
    </x:xf>
    <x:xf numFmtId="0" fontId="6" fillId="6" borderId="2" xfId="0" applyNumberFormat="1" applyFont="1" applyFill="1" applyBorder="1" applyAlignment="1">
      <x:alignment horizontal="center" vertical="top" wrapText="1"/>
    </x:xf>
    <x:xf numFmtId="0" fontId="6" fillId="6" borderId="2" xfId="0" applyNumberFormat="1" applyFont="1" applyFill="1" applyBorder="1" applyAlignment="1">
      <x:alignment horizontal="center" vertical="center" wrapText="1"/>
    </x:xf>
    <x:xf numFmtId="0" fontId="6" fillId="6" borderId="3" xfId="0" applyNumberFormat="1" applyFont="1" applyFill="1" applyBorder="1" applyAlignment="1">
      <x:alignment vertical="top" wrapText="1"/>
    </x:xf>
    <x:xf numFmtId="0" fontId="6" fillId="6" borderId="3" xfId="0" applyNumberFormat="1" applyFont="1" applyFill="1" applyBorder="1" applyAlignment="1">
      <x:alignment horizontal="center" vertical="top" wrapText="1"/>
    </x:xf>
    <x:xf numFmtId="0" fontId="6" fillId="6" borderId="3" xfId="0" applyNumberFormat="1" applyFont="1" applyFill="1" applyBorder="1" applyAlignment="1">
      <x:alignment horizontal="center" vertical="center" wrapText="1"/>
    </x:xf>
    <x:xf numFmtId="0" fontId="5" fillId="6" borderId="2" xfId="0" applyNumberFormat="1" applyFont="1" applyFill="1" applyBorder="1" applyAlignment="1">
      <x:alignment vertical="top" wrapText="1"/>
    </x:xf>
    <x:xf numFmtId="0" fontId="5" fillId="6" borderId="2" xfId="0" applyNumberFormat="1" applyFont="1" applyFill="1" applyBorder="1" applyAlignment="1">
      <x:alignment horizontal="center" vertical="top" wrapText="1"/>
    </x:xf>
    <x:xf numFmtId="0" fontId="5" fillId="6" borderId="2" xfId="0" applyNumberFormat="1" applyFont="1" applyFill="1" applyBorder="1" applyAlignment="1">
      <x:alignment horizontal="center" vertical="center" wrapText="1"/>
    </x:xf>
    <x:xf numFmtId="0" fontId="5" fillId="6" borderId="3" xfId="0" applyNumberFormat="1" applyFont="1" applyFill="1" applyBorder="1" applyAlignment="1">
      <x:alignment vertical="top" wrapText="1"/>
    </x:xf>
    <x:xf numFmtId="0" fontId="5" fillId="6" borderId="3" xfId="0" applyNumberFormat="1" applyFont="1" applyFill="1" applyBorder="1" applyAlignment="1">
      <x:alignment horizontal="center" vertical="top" wrapText="1"/>
    </x:xf>
    <x:xf numFmtId="0" fontId="5" fillId="6" borderId="3" xfId="0" applyNumberFormat="1" applyFont="1" applyFill="1" applyBorder="1" applyAlignment="1">
      <x:alignment horizontal="center" vertical="center" wrapText="1"/>
    </x:xf>
    <x:xf numFmtId="0" fontId="5" fillId="6" borderId="2" xfId="0" applyNumberFormat="1" applyFont="1" applyFill="1" applyBorder="1" applyAlignment="1">
      <x:alignment vertical="center" wrapText="1"/>
    </x:xf>
    <x:xf numFmtId="0" fontId="5" fillId="6" borderId="3" xfId="0" applyNumberFormat="1" applyFont="1" applyFill="1" applyBorder="1" applyAlignment="1">
      <x:alignment vertical="center" wrapText="1"/>
    </x:xf>
    <x:xf numFmtId="0" fontId="6" fillId="4" borderId="2" xfId="0" applyNumberFormat="1" applyFont="1" applyFill="1" applyBorder="1" applyAlignment="1">
      <x:alignment vertical="top" wrapText="1"/>
    </x:xf>
    <x:xf numFmtId="0" fontId="6" fillId="4" borderId="2" xfId="0" applyNumberFormat="1" applyFont="1" applyFill="1" applyBorder="1" applyAlignment="1">
      <x:alignment horizontal="center" vertical="top" wrapText="1"/>
    </x:xf>
    <x:xf numFmtId="0" fontId="6" fillId="4" borderId="2" xfId="0" applyNumberFormat="1" applyFont="1" applyFill="1" applyBorder="1" applyAlignment="1">
      <x:alignment horizontal="center" vertical="center" wrapText="1"/>
    </x:xf>
    <x:xf numFmtId="0" fontId="6" fillId="4" borderId="3" xfId="0" applyNumberFormat="1" applyFont="1" applyFill="1" applyBorder="1" applyAlignment="1">
      <x:alignment vertical="top" wrapText="1"/>
    </x:xf>
    <x:xf numFmtId="0" fontId="6" fillId="4" borderId="3" xfId="0" applyNumberFormat="1" applyFont="1" applyFill="1" applyBorder="1" applyAlignment="1">
      <x:alignment horizontal="center" vertical="top" wrapText="1"/>
    </x:xf>
    <x:xf numFmtId="0" fontId="6" fillId="4" borderId="3" xfId="0" applyNumberFormat="1" applyFont="1" applyFill="1" applyBorder="1" applyAlignment="1">
      <x:alignment horizontal="center" vertical="center" wrapText="1"/>
    </x:xf>
    <x:xf numFmtId="0" fontId="6" fillId="7" borderId="2" xfId="0" applyNumberFormat="1" applyFont="1" applyFill="1" applyBorder="1" applyAlignment="1">
      <x:alignment horizontal="center" vertical="center" wrapText="1"/>
    </x:xf>
    <x:xf numFmtId="0" fontId="6" fillId="7" borderId="3" xfId="0" applyNumberFormat="1" applyFont="1" applyFill="1" applyBorder="1" applyAlignment="1">
      <x:alignment horizontal="center" vertical="center" wrapText="1"/>
    </x:xf>
    <x:xf numFmtId="0" fontId="7" fillId="7" borderId="2" xfId="0" applyNumberFormat="1" applyFont="1" applyFill="1" applyBorder="1" applyAlignment="1">
      <x:alignment horizontal="center" vertical="center" wrapText="1"/>
    </x:xf>
    <x:xf numFmtId="0" fontId="7" fillId="7" borderId="3" xfId="0" applyNumberFormat="1" applyFont="1" applyFill="1" applyBorder="1" applyAlignment="1">
      <x:alignment horizontal="center" vertical="center" wrapText="1"/>
    </x:xf>
    <x:xf numFmtId="0" fontId="6" fillId="5" borderId="2" xfId="0" applyNumberFormat="1" applyFont="1" applyFill="1" applyBorder="1" applyAlignment="1">
      <x:alignment vertical="top" wrapText="1"/>
    </x:xf>
    <x:xf numFmtId="0" fontId="6" fillId="5" borderId="2" xfId="0" applyNumberFormat="1" applyFont="1" applyFill="1" applyBorder="1" applyAlignment="1">
      <x:alignment horizontal="center" vertical="top" wrapText="1"/>
    </x:xf>
    <x:xf numFmtId="0" fontId="6" fillId="5" borderId="2" xfId="0" applyNumberFormat="1" applyFont="1" applyFill="1" applyBorder="1" applyAlignment="1">
      <x:alignment horizontal="center" vertical="center" wrapText="1"/>
    </x:xf>
    <x:xf numFmtId="0" fontId="6" fillId="5" borderId="3" xfId="0" applyNumberFormat="1" applyFont="1" applyFill="1" applyBorder="1" applyAlignment="1">
      <x:alignment vertical="top" wrapText="1"/>
    </x:xf>
    <x:xf numFmtId="0" fontId="6" fillId="5" borderId="3" xfId="0" applyNumberFormat="1" applyFont="1" applyFill="1" applyBorder="1" applyAlignment="1">
      <x:alignment horizontal="center" vertical="top" wrapText="1"/>
    </x:xf>
    <x:xf numFmtId="0" fontId="6" fillId="5" borderId="3" xfId="0" applyNumberFormat="1" applyFont="1" applyFill="1" applyBorder="1" applyAlignment="1">
      <x:alignment horizontal="center" vertical="center" wrapText="1"/>
    </x:xf>
    <x:xf numFmtId="0" fontId="6" fillId="8" borderId="2" xfId="0" applyNumberFormat="1" applyFont="1" applyFill="1" applyBorder="1" applyAlignment="1">
      <x:alignment horizontal="center" vertical="center" wrapText="1"/>
    </x:xf>
    <x:xf numFmtId="0" fontId="6" fillId="8" borderId="3" xfId="0" applyNumberFormat="1" applyFont="1" applyFill="1" applyBorder="1" applyAlignment="1">
      <x:alignment horizontal="center" vertical="center" wrapText="1"/>
    </x:xf>
    <x:xf numFmtId="0" fontId="8" fillId="8" borderId="2" xfId="0" applyNumberFormat="1" applyFont="1" applyFill="1" applyBorder="1" applyAlignment="1">
      <x:alignment horizontal="center" vertical="center" wrapText="1"/>
    </x:xf>
    <x:xf numFmtId="0" fontId="8" fillId="8" borderId="3" xfId="0" applyNumberFormat="1" applyFont="1" applyFill="1" applyBorder="1" applyAlignment="1">
      <x:alignment horizontal="center" vertical="center" wrapText="1"/>
    </x:xf>
    <x:xf numFmtId="0" fontId="6" fillId="9" borderId="2" xfId="0" applyNumberFormat="1" applyFont="1" applyFill="1" applyBorder="1" applyAlignment="1">
      <x:alignment vertical="top" wrapText="1"/>
    </x:xf>
    <x:xf numFmtId="0" fontId="6" fillId="9" borderId="2" xfId="0" applyNumberFormat="1" applyFont="1" applyFill="1" applyBorder="1" applyAlignment="1">
      <x:alignment horizontal="center" vertical="top" wrapText="1"/>
    </x:xf>
    <x:xf numFmtId="0" fontId="6" fillId="9" borderId="2" xfId="0" applyNumberFormat="1" applyFont="1" applyFill="1" applyBorder="1" applyAlignment="1">
      <x:alignment horizontal="center" vertical="center" wrapText="1"/>
    </x:xf>
    <x:xf numFmtId="0" fontId="6" fillId="9" borderId="3" xfId="0" applyNumberFormat="1" applyFont="1" applyFill="1" applyBorder="1" applyAlignment="1">
      <x:alignment vertical="top" wrapText="1"/>
    </x:xf>
    <x:xf numFmtId="0" fontId="6" fillId="9" borderId="3" xfId="0" applyNumberFormat="1" applyFont="1" applyFill="1" applyBorder="1" applyAlignment="1">
      <x:alignment horizontal="center" vertical="top" wrapText="1"/>
    </x:xf>
    <x:xf numFmtId="0" fontId="6" fillId="9" borderId="3" xfId="0" applyNumberFormat="1" applyFont="1" applyFill="1" applyBorder="1" applyAlignment="1">
      <x:alignment horizontal="center" vertical="center" wrapText="1"/>
    </x:xf>
    <x:xf numFmtId="0" fontId="9" fillId="9" borderId="2" xfId="0" applyNumberFormat="1" applyFont="1" applyFill="1" applyBorder="1" applyAlignment="1">
      <x:alignment vertical="top" wrapText="1"/>
    </x:xf>
    <x:xf numFmtId="0" fontId="9" fillId="9" borderId="2"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center" wrapText="1"/>
    </x:xf>
    <x:xf numFmtId="0" fontId="9" fillId="9" borderId="3" xfId="0" applyNumberFormat="1" applyFont="1" applyFill="1" applyBorder="1" applyAlignment="1">
      <x:alignment vertical="top" wrapText="1"/>
    </x:xf>
    <x:xf numFmtId="0" fontId="9" fillId="9" borderId="3" xfId="0" applyNumberFormat="1" applyFont="1" applyFill="1" applyBorder="1" applyAlignment="1">
      <x:alignment horizontal="center" vertical="top" wrapText="1"/>
    </x:xf>
    <x:xf numFmtId="0" fontId="9" fillId="9" borderId="3" xfId="0" applyNumberFormat="1" applyFont="1" applyFill="1" applyBorder="1" applyAlignment="1">
      <x:alignment horizontal="center" vertical="center" wrapText="1"/>
    </x:xf>
    <x:xf numFmtId="0" fontId="9" fillId="9" borderId="2" xfId="0" applyNumberFormat="1" applyFont="1" applyFill="1" applyBorder="1" applyAlignment="1">
      <x:alignment vertical="center" wrapText="1"/>
    </x:xf>
    <x:xf numFmtId="0" fontId="9" fillId="9" borderId="3" xfId="0" applyNumberFormat="1" applyFont="1" applyFill="1" applyBorder="1" applyAlignment="1">
      <x:alignment vertical="center" wrapText="1"/>
    </x:xf>
    <x:xf numFmtId="0" fontId="6" fillId="10" borderId="2" xfId="0" applyNumberFormat="1" applyFont="1" applyFill="1" applyBorder="1" applyAlignment="1">
      <x:alignment vertical="top" wrapText="1"/>
    </x:xf>
    <x:xf numFmtId="0" fontId="6" fillId="10" borderId="2" xfId="0" applyNumberFormat="1" applyFont="1" applyFill="1" applyBorder="1" applyAlignment="1">
      <x:alignment horizontal="center" vertical="top" wrapText="1"/>
    </x:xf>
    <x:xf numFmtId="0" fontId="6" fillId="10" borderId="2" xfId="0" applyNumberFormat="1" applyFont="1" applyFill="1" applyBorder="1" applyAlignment="1">
      <x:alignment horizontal="center" vertical="center" wrapText="1"/>
    </x:xf>
    <x:xf numFmtId="0" fontId="6" fillId="10" borderId="3" xfId="0" applyNumberFormat="1" applyFont="1" applyFill="1" applyBorder="1" applyAlignment="1">
      <x:alignment vertical="top" wrapText="1"/>
    </x:xf>
    <x:xf numFmtId="0" fontId="6" fillId="10" borderId="3" xfId="0" applyNumberFormat="1" applyFont="1" applyFill="1" applyBorder="1" applyAlignment="1">
      <x:alignment horizontal="center" vertical="top" wrapText="1"/>
    </x:xf>
    <x:xf numFmtId="0" fontId="6" fillId="10" borderId="3" xfId="0" applyNumberFormat="1" applyFont="1" applyFill="1" applyBorder="1" applyAlignment="1">
      <x:alignment horizontal="center" vertical="center" wrapText="1"/>
    </x:xf>
    <x:xf numFmtId="0" fontId="10" fillId="10" borderId="2" xfId="0" applyNumberFormat="1" applyFont="1" applyFill="1" applyBorder="1" applyAlignment="1">
      <x:alignment vertical="top" wrapText="1"/>
    </x:xf>
    <x:xf numFmtId="0" fontId="10" fillId="10" borderId="2" xfId="0" applyNumberFormat="1" applyFont="1" applyFill="1" applyBorder="1" applyAlignment="1">
      <x:alignment horizontal="center" vertical="top" wrapText="1"/>
    </x:xf>
    <x:xf numFmtId="0" fontId="10" fillId="10" borderId="2" xfId="0" applyNumberFormat="1" applyFont="1" applyFill="1" applyBorder="1" applyAlignment="1">
      <x:alignment horizontal="center" vertical="center" wrapText="1"/>
    </x:xf>
    <x:xf numFmtId="0" fontId="10" fillId="10" borderId="3" xfId="0" applyNumberFormat="1" applyFont="1" applyFill="1" applyBorder="1" applyAlignment="1">
      <x:alignment vertical="top" wrapText="1"/>
    </x:xf>
    <x:xf numFmtId="0" fontId="10" fillId="10" borderId="3" xfId="0" applyNumberFormat="1" applyFont="1" applyFill="1" applyBorder="1" applyAlignment="1">
      <x:alignment horizontal="center" vertical="top" wrapText="1"/>
    </x:xf>
    <x:xf numFmtId="0" fontId="10" fillId="10" borderId="3" xfId="0" applyNumberFormat="1" applyFont="1" applyFill="1" applyBorder="1" applyAlignment="1">
      <x:alignment horizontal="center" vertical="center" wrapText="1"/>
    </x:xf>
    <x:xf numFmtId="0" fontId="6" fillId="11" borderId="2" xfId="0" applyNumberFormat="1" applyFont="1" applyFill="1" applyBorder="1" applyAlignment="1">
      <x:alignment vertical="top" wrapText="1"/>
    </x:xf>
    <x:xf numFmtId="0" fontId="6" fillId="11" borderId="2" xfId="0" applyNumberFormat="1" applyFont="1" applyFill="1" applyBorder="1" applyAlignment="1">
      <x:alignment horizontal="center" vertical="top" wrapText="1"/>
    </x:xf>
    <x:xf numFmtId="0" fontId="6" fillId="11" borderId="2" xfId="0" applyNumberFormat="1" applyFont="1" applyFill="1" applyBorder="1" applyAlignment="1">
      <x:alignment horizontal="center" vertical="center" wrapText="1"/>
    </x:xf>
    <x:xf numFmtId="0" fontId="6" fillId="11" borderId="3" xfId="0" applyNumberFormat="1" applyFont="1" applyFill="1" applyBorder="1" applyAlignment="1">
      <x:alignment vertical="top" wrapText="1"/>
    </x:xf>
    <x:xf numFmtId="0" fontId="6" fillId="11" borderId="3" xfId="0" applyNumberFormat="1" applyFont="1" applyFill="1" applyBorder="1" applyAlignment="1">
      <x:alignment horizontal="center" vertical="top" wrapText="1"/>
    </x:xf>
    <x:xf numFmtId="0" fontId="6" fillId="11" borderId="3" xfId="0" applyNumberFormat="1" applyFont="1" applyFill="1" applyBorder="1" applyAlignment="1">
      <x:alignment horizontal="center" vertical="center" wrapText="1"/>
    </x:xf>
    <x:xf numFmtId="0" fontId="11" fillId="11" borderId="2" xfId="0" applyNumberFormat="1" applyFont="1" applyFill="1" applyBorder="1" applyAlignment="1">
      <x:alignment vertical="top" wrapText="1"/>
    </x:xf>
    <x:xf numFmtId="0" fontId="11" fillId="11" borderId="2" xfId="0" applyNumberFormat="1" applyFont="1" applyFill="1" applyBorder="1" applyAlignment="1">
      <x:alignment horizontal="center" vertical="top" wrapText="1"/>
    </x:xf>
    <x:xf numFmtId="0" fontId="11" fillId="11" borderId="2" xfId="0" applyNumberFormat="1" applyFont="1" applyFill="1" applyBorder="1" applyAlignment="1">
      <x:alignment horizontal="center" vertical="center" wrapText="1"/>
    </x:xf>
    <x:xf numFmtId="0" fontId="11" fillId="11" borderId="3" xfId="0" applyNumberFormat="1" applyFont="1" applyFill="1" applyBorder="1" applyAlignment="1">
      <x:alignment vertical="top" wrapText="1"/>
    </x:xf>
    <x:xf numFmtId="0" fontId="11" fillId="11" borderId="3" xfId="0" applyNumberFormat="1" applyFont="1" applyFill="1" applyBorder="1" applyAlignment="1">
      <x:alignment horizontal="center" vertical="top" wrapText="1"/>
    </x:xf>
    <x:xf numFmtId="0" fontId="11" fillId="11" borderId="3" xfId="0" applyNumberFormat="1" applyFont="1" applyFill="1" applyBorder="1" applyAlignment="1">
      <x:alignment horizontal="center" vertical="center" wrapText="1"/>
    </x:xf>
    <x:xf numFmtId="0" fontId="10" fillId="10" borderId="2" xfId="0" applyNumberFormat="1" applyFont="1" applyFill="1" applyBorder="1" applyAlignment="1">
      <x:alignment vertical="center" wrapText="1"/>
    </x:xf>
    <x:xf numFmtId="0" fontId="11" fillId="11" borderId="2" xfId="0" applyNumberFormat="1" applyFont="1" applyFill="1" applyBorder="1" applyAlignment="1">
      <x:alignment vertical="center" wrapText="1"/>
    </x:xf>
    <x:xf numFmtId="0" fontId="10" fillId="10" borderId="3" xfId="0" applyNumberFormat="1" applyFont="1" applyFill="1" applyBorder="1" applyAlignment="1">
      <x:alignment vertical="center" wrapText="1"/>
    </x:xf>
    <x:xf numFmtId="0" fontId="11" fillId="11" borderId="3" xfId="0" applyNumberFormat="1" applyFont="1" applyFill="1" applyBorder="1" applyAlignment="1">
      <x:alignment vertical="center" wrapText="1"/>
    </x:xf>
    <x:xf numFmtId="0" fontId="5" fillId="2" borderId="0" xfId="0" applyNumberFormat="1" applyFont="1" applyFill="1" applyBorder="1"/>
    <x:xf numFmtId="0" fontId="5" fillId="2" borderId="1" xfId="0" applyNumberFormat="1" applyFont="1" applyFill="1" applyBorder="1"/>
    <x:xf numFmtId="0" fontId="5" fillId="2" borderId="0" xfId="0" applyNumberFormat="1" applyFont="1" applyFill="1" applyBorder="1" applyAlignment="1">
      <x:alignment horizontal="center"/>
    </x:xf>
    <x:xf numFmtId="0" fontId="5" fillId="2" borderId="1" xfId="0" applyNumberFormat="1" applyFont="1" applyFill="1" applyBorder="1" applyAlignment="1">
      <x:alignment horizontal="center"/>
    </x:xf>
    <x:xf numFmtId="0" fontId="11" fillId="4" borderId="0" xfId="0" applyNumberFormat="1" applyFont="1" applyFill="1" applyBorder="1"/>
    <x:xf numFmtId="0" fontId="11" fillId="4" borderId="1" xfId="0" applyNumberFormat="1" applyFont="1" applyFill="1" applyBorder="1"/>
    <x:xf numFmtId="0" fontId="10" fillId="5" borderId="0" xfId="0" applyNumberFormat="1" applyFont="1" applyFill="1" applyBorder="1"/>
    <x:xf numFmtId="0" fontId="10" fillId="5" borderId="1" xfId="0" applyNumberFormat="1" applyFont="1" applyFill="1" applyBorder="1"/>
    <x:xf numFmtId="0" fontId="5" fillId="2" borderId="2" xfId="0" applyNumberFormat="1" applyFont="1" applyFill="1" applyBorder="1" applyAlignment="1">
      <x:alignment horizontal="center"/>
    </x:xf>
    <x:xf numFmtId="0" fontId="11" fillId="4" borderId="2" xfId="0" applyNumberFormat="1" applyFont="1" applyFill="1" applyBorder="1"/>
    <x:xf numFmtId="0" fontId="10" fillId="5" borderId="2" xfId="0" applyNumberFormat="1" applyFont="1" applyFill="1" applyBorder="1"/>
    <x:xf numFmtId="0" fontId="5" fillId="2" borderId="3" xfId="0" applyNumberFormat="1" applyFont="1" applyFill="1" applyBorder="1" applyAlignment="1">
      <x:alignment horizontal="center"/>
    </x:xf>
    <x:xf numFmtId="0" fontId="11" fillId="4" borderId="3" xfId="0" applyNumberFormat="1" applyFont="1" applyFill="1" applyBorder="1"/>
    <x:xf numFmtId="0" fontId="10" fillId="5" borderId="3" xfId="0" applyNumberFormat="1" applyFont="1" applyFill="1" applyBorder="1"/>
    <x:xf numFmtId="0" fontId="5" fillId="2" borderId="2" xfId="0" applyNumberFormat="1" applyFont="1" applyFill="1" applyBorder="1" applyAlignment="1">
      <x:alignment horizontal="center" vertical="center"/>
    </x:xf>
    <x:xf numFmtId="0" fontId="11" fillId="4" borderId="2" xfId="0" applyNumberFormat="1" applyFont="1" applyFill="1" applyBorder="1" applyAlignment="1">
      <x:alignment vertical="center"/>
    </x:xf>
    <x:xf numFmtId="0" fontId="10" fillId="5" borderId="2" xfId="0" applyNumberFormat="1" applyFont="1" applyFill="1" applyBorder="1" applyAlignment="1">
      <x:alignment vertical="center"/>
    </x:xf>
    <x:xf numFmtId="0" fontId="5" fillId="2" borderId="3" xfId="0" applyNumberFormat="1" applyFont="1" applyFill="1" applyBorder="1" applyAlignment="1">
      <x:alignment horizontal="center" vertical="center"/>
    </x:xf>
    <x:xf numFmtId="0" fontId="11" fillId="4" borderId="3" xfId="0" applyNumberFormat="1" applyFont="1" applyFill="1" applyBorder="1" applyAlignment="1">
      <x:alignment vertical="center"/>
    </x:xf>
    <x:xf numFmtId="0" fontId="10" fillId="5" borderId="3" xfId="0" applyNumberFormat="1" applyFont="1" applyFill="1" applyBorder="1" applyAlignment="1">
      <x:alignment vertical="center"/>
    </x:xf>
    <x:xf numFmtId="0" fontId="10" fillId="5" borderId="2" xfId="0" applyNumberFormat="1" applyFont="1" applyFill="1" applyBorder="1" applyAlignment="1">
      <x:alignment horizontal="center" vertical="center"/>
    </x:xf>
    <x:xf numFmtId="0" fontId="10" fillId="5" borderId="3" xfId="0" applyNumberFormat="1" applyFont="1" applyFill="1" applyBorder="1" applyAlignment="1">
      <x:alignment horizontal="center" vertical="center"/>
    </x:xf>
    <x:xf numFmtId="0" fontId="12" fillId="2" borderId="0" xfId="0" applyNumberFormat="1" applyFont="1" applyFill="1" applyBorder="1"/>
    <x:xf numFmtId="0" fontId="12" fillId="2" borderId="1" xfId="0" applyNumberFormat="1" applyFont="1" applyFill="1" applyBorder="1"/>
    <x:xf numFmtId="0" fontId="12" fillId="2" borderId="0" xfId="0" applyNumberFormat="1" applyFont="1" applyFill="1" applyBorder="1" applyAlignment="1">
      <x:alignment horizontal="center"/>
    </x:xf>
    <x:xf numFmtId="0" fontId="12" fillId="2" borderId="1" xfId="0" applyNumberFormat="1" applyFont="1" applyFill="1" applyBorder="1" applyAlignment="1">
      <x:alignment horizontal="center"/>
    </x:xf>
    <x:xf numFmtId="0" fontId="4" fillId="4" borderId="0" xfId="0" applyNumberFormat="1" applyFont="1" applyFill="1" applyBorder="1"/>
    <x:xf numFmtId="0" fontId="4" fillId="4" borderId="1" xfId="0" applyNumberFormat="1" applyFont="1" applyFill="1" applyBorder="1"/>
    <x:xf numFmtId="0" fontId="4" fillId="4" borderId="0" xfId="0" applyNumberFormat="1" applyFont="1" applyFill="1" applyBorder="1" applyAlignment="1">
      <x:alignment horizontal="center"/>
    </x:xf>
    <x:xf numFmtId="0" fontId="4" fillId="4" borderId="1" xfId="0" applyNumberFormat="1" applyFont="1" applyFill="1" applyBorder="1" applyAlignment="1">
      <x:alignment horizontal="center"/>
    </x:xf>
    <x:xf numFmtId="0" fontId="4" fillId="4" borderId="0" xfId="0" applyNumberFormat="1" applyFont="1" applyFill="1" applyBorder="1" applyAlignment="1">
      <x:alignment horizontal="center" wrapText="1"/>
    </x:xf>
    <x:xf numFmtId="0" fontId="4" fillId="4" borderId="1" xfId="0" applyNumberFormat="1" applyFont="1" applyFill="1" applyBorder="1" applyAlignment="1">
      <x:alignment horizontal="center" wrapText="1"/>
    </x:xf>
    <x:xf numFmtId="0" fontId="9" fillId="3" borderId="0" xfId="0" applyNumberFormat="1" applyFont="1" applyFill="1" applyBorder="1"/>
    <x:xf numFmtId="0" fontId="9" fillId="3" borderId="1" xfId="0" applyNumberFormat="1" applyFont="1" applyFill="1" applyBorder="1"/>
    <x:xf numFmtId="0" fontId="9" fillId="3" borderId="0" xfId="0" applyNumberFormat="1" applyFont="1" applyFill="1" applyBorder="1" applyAlignment="1">
      <x:alignment horizontal="center"/>
    </x:xf>
    <x:xf numFmtId="0" fontId="9" fillId="3" borderId="1" xfId="0" applyNumberFormat="1" applyFont="1" applyFill="1" applyBorder="1" applyAlignment="1">
      <x:alignment horizontal="center"/>
    </x:xf>
    <x:xf numFmtId="0" fontId="9" fillId="3" borderId="0" xfId="0" applyNumberFormat="1" applyFont="1" applyFill="1" applyBorder="1" applyAlignment="1">
      <x:alignment horizontal="center" vertical="center"/>
    </x:xf>
    <x:xf numFmtId="0" fontId="9" fillId="3" borderId="1" xfId="0" applyNumberFormat="1" applyFont="1" applyFill="1" applyBorder="1" applyAlignment="1">
      <x:alignment horizontal="center" vertical="center"/>
    </x:xf>
    <x:xf numFmtId="0" fontId="9" fillId="3" borderId="0" xfId="0" applyNumberFormat="1" applyFont="1" applyFill="1" applyBorder="1" applyAlignment="1">
      <x:alignment horizontal="center" vertical="center" wrapText="1"/>
    </x:xf>
    <x:xf numFmtId="0" fontId="9" fillId="3" borderId="1" xfId="0" applyNumberFormat="1" applyFont="1" applyFill="1" applyBorder="1" applyAlignment="1">
      <x:alignment horizontal="center" vertical="center" wrapText="1"/>
    </x:xf>
    <x:xf numFmtId="0" fontId="13" fillId="0" borderId="0" xfId="0" applyNumberFormat="1" applyFont="1" applyFill="1" applyBorder="1" applyAlignment="1">
      <x:alignment vertical="top" wrapText="1"/>
    </x:xf>
    <x:xf numFmtId="0" fontId="13" fillId="0" borderId="1" xfId="0" applyNumberFormat="1" applyFont="1" applyFill="1" applyBorder="1" applyAlignment="1">
      <x:alignment vertical="top" wrapText="1"/>
    </x:xf>
    <x:xf numFmtId="0" fontId="13" fillId="0" borderId="2" xfId="0" applyNumberFormat="1" applyFont="1" applyFill="1" applyBorder="1" applyAlignment="1">
      <x:alignment vertical="top" wrapText="1"/>
    </x:xf>
    <x:xf numFmtId="0" fontId="13" fillId="0" borderId="3" xfId="0" applyNumberFormat="1" applyFont="1" applyFill="1" applyBorder="1" applyAlignment="1">
      <x:alignment vertical="top" wrapText="1"/>
    </x:xf>
    <x:xf numFmtId="0" fontId="13" fillId="4" borderId="2" xfId="0" applyNumberFormat="1" applyFont="1" applyFill="1" applyBorder="1" applyAlignment="1">
      <x:alignment vertical="top" wrapText="1"/>
    </x:xf>
    <x:xf numFmtId="0" fontId="13" fillId="4" borderId="3" xfId="0" applyNumberFormat="1" applyFont="1" applyFill="1" applyBorder="1" applyAlignment="1">
      <x:alignment vertical="top" wrapText="1"/>
    </x:xf>
    <x:xf numFmtId="0" fontId="13" fillId="8" borderId="2" xfId="0" applyNumberFormat="1" applyFont="1" applyFill="1" applyBorder="1" applyAlignment="1">
      <x:alignment vertical="top" wrapText="1"/>
    </x:xf>
    <x:xf numFmtId="0" fontId="13" fillId="8" borderId="3" xfId="0" applyNumberFormat="1" applyFont="1" applyFill="1" applyBorder="1" applyAlignment="1">
      <x:alignment vertical="top" wrapText="1"/>
    </x:xf>
    <x:xf numFmtId="0" fontId="14" fillId="8" borderId="2" xfId="0" applyNumberFormat="1" applyFont="1" applyFill="1" applyBorder="1" applyAlignment="1">
      <x:alignment vertical="top" wrapText="1"/>
    </x:xf>
    <x:xf numFmtId="0" fontId="14" fillId="8" borderId="3" xfId="0" applyNumberFormat="1" applyFont="1" applyFill="1" applyBorder="1" applyAlignment="1">
      <x:alignment vertical="top" wrapText="1"/>
    </x:xf>
    <x:xf numFmtId="0" fontId="14" fillId="8" borderId="2" xfId="0" applyNumberFormat="1" applyFont="1" applyFill="1" applyBorder="1" applyAlignment="1">
      <x:alignment horizontal="center" vertical="top" wrapText="1"/>
    </x:xf>
    <x:xf numFmtId="0" fontId="14" fillId="8" borderId="3" xfId="0" applyNumberFormat="1" applyFont="1" applyFill="1" applyBorder="1" applyAlignment="1">
      <x:alignment horizontal="center" vertical="top" wrapText="1"/>
    </x:xf>
    <x:xf numFmtId="0" fontId="14" fillId="8" borderId="2" xfId="0" applyNumberFormat="1" applyFont="1" applyFill="1" applyBorder="1" applyAlignment="1">
      <x:alignment horizontal="center" vertical="center" wrapText="1"/>
    </x:xf>
    <x:xf numFmtId="0" fontId="14" fillId="8" borderId="3" xfId="0" applyNumberFormat="1" applyFont="1" applyFill="1" applyBorder="1" applyAlignment="1">
      <x:alignment horizontal="center" vertical="center" wrapText="1"/>
    </x:xf>
    <x:xf numFmtId="0" fontId="13" fillId="5" borderId="2" xfId="0" applyNumberFormat="1" applyFont="1" applyFill="1" applyBorder="1" applyAlignment="1">
      <x:alignment vertical="top" wrapText="1"/>
    </x:xf>
    <x:xf numFmtId="0" fontId="13" fillId="5" borderId="3" xfId="0" applyNumberFormat="1" applyFont="1" applyFill="1" applyBorder="1" applyAlignment="1">
      <x:alignment vertical="top" wrapText="1"/>
    </x:xf>
    <x:xf numFmtId="0" fontId="13" fillId="7" borderId="2" xfId="0" applyNumberFormat="1" applyFont="1" applyFill="1" applyBorder="1" applyAlignment="1">
      <x:alignment vertical="top" wrapText="1"/>
    </x:xf>
    <x:xf numFmtId="0" fontId="13" fillId="7" borderId="3" xfId="0" applyNumberFormat="1" applyFont="1" applyFill="1" applyBorder="1" applyAlignment="1">
      <x:alignment vertical="top" wrapText="1"/>
    </x:xf>
    <x:xf numFmtId="0" fontId="15" fillId="7" borderId="2" xfId="0" applyNumberFormat="1" applyFont="1" applyFill="1" applyBorder="1" applyAlignment="1">
      <x:alignment vertical="top" wrapText="1"/>
    </x:xf>
    <x:xf numFmtId="0" fontId="15" fillId="7" borderId="3" xfId="0" applyNumberFormat="1" applyFont="1" applyFill="1" applyBorder="1" applyAlignment="1">
      <x:alignment vertical="top" wrapText="1"/>
    </x:xf>
    <x:xf numFmtId="0" fontId="15" fillId="7" borderId="2" xfId="0" applyNumberFormat="1" applyFont="1" applyFill="1" applyBorder="1" applyAlignment="1">
      <x:alignment horizontal="center" vertical="top" wrapText="1"/>
    </x:xf>
    <x:xf numFmtId="0" fontId="15" fillId="7" borderId="3" xfId="0" applyNumberFormat="1" applyFont="1" applyFill="1" applyBorder="1" applyAlignment="1">
      <x:alignment horizontal="center" vertical="top" wrapText="1"/>
    </x:xf>
    <x:xf numFmtId="0" fontId="15" fillId="7" borderId="2" xfId="0" applyNumberFormat="1" applyFont="1" applyFill="1" applyBorder="1" applyAlignment="1">
      <x:alignment horizontal="center" vertical="center" wrapText="1"/>
    </x:xf>
    <x:xf numFmtId="0" fontId="15" fillId="7" borderId="3" xfId="0" applyNumberFormat="1" applyFont="1" applyFill="1" applyBorder="1" applyAlignment="1">
      <x:alignment horizontal="center" vertical="center" wrapText="1"/>
    </x:xf>
    <x:xf numFmtId="0" fontId="13" fillId="4" borderId="2" xfId="0" applyNumberFormat="1" applyFont="1" applyFill="1" applyBorder="1" applyAlignment="1">
      <x:alignment horizontal="center" vertical="top" wrapText="1"/>
    </x:xf>
    <x:xf numFmtId="0" fontId="13" fillId="5" borderId="2"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b296c9fc5494f0f" /><Relationship Type="http://schemas.openxmlformats.org/officeDocument/2006/relationships/theme" Target="/xl/theme/theme1.xml" Id="Rce832c58ceed4a66" /><Relationship Type="http://schemas.openxmlformats.org/officeDocument/2006/relationships/sharedStrings" Target="/xl/sharedStrings.xml" Id="Rd1ca7f2d0a2a435e" /><Relationship Type="http://schemas.openxmlformats.org/officeDocument/2006/relationships/worksheet" Target="/xl/worksheets/sheet1.xml" Id="Rd73932fcabe2405a" /><Relationship Type="http://schemas.openxmlformats.org/officeDocument/2006/relationships/worksheet" Target="/xl/worksheets/sheet2.xml" Id="R201a49863ebc433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5" hidden="0" customWidth="1"/>
    <x:col min="2" max="2" width="68" hidden="0" customWidth="1"/>
    <x:col min="3" max="3" width="13" hidden="0" customWidth="1"/>
    <x:col min="4" max="4" width="10" hidden="0" customWidth="1"/>
    <x:col min="5" max="5" width="16" hidden="0" customWidth="1"/>
    <x:col min="6" max="6" width="15" hidden="0" customWidth="1"/>
    <x:col min="7" max="7" width="14" hidden="0" customWidth="1"/>
    <x:col min="9" max="9" width="24" hidden="0" customWidth="1"/>
    <x:col min="10" max="10" width="13" hidden="0" customWidth="1"/>
  </x:cols>
  <x:sheetData>
    <x:row r="1" ht="28" customHeight="1">
      <x:c r="A1" s="8" t="str">
        <x:v>КЛЮЧЕВАЯ ТАБЛИЦА РАБОЧЕЙ ПРОГРАММЫ ДИСЦИПЛИНЫ</x:v>
      </x:c>
      <x:c r="B1" s="8"/>
      <x:c r="C1" s="8"/>
      <x:c r="D1" s="8"/>
      <x:c r="E1" s="8"/>
      <x:c r="F1" s="8"/>
      <x:c r="G1" s="8"/>
      <x:c r="I1" s="142" t="str">
        <x:v>Контрольные суммы</x:v>
      </x:c>
      <x:c r="J1" s="142"/>
    </x:row>
    <x:row r="2" ht="24" customHeight="1">
      <x:c r="A2" s="14" t="str">
        <x:v>Дисциплина: Математическая статистика и статистические методы машинного обучения</x:v>
      </x:c>
      <x:c r="B2" s="14"/>
      <x:c r="C2" s="14"/>
      <x:c r="D2" s="14"/>
      <x:c r="E2" s="14"/>
      <x:c r="F2" s="14"/>
      <x:c r="G2" s="14"/>
      <x:c r="I2" s="143" t="str">
        <x:v>Лекции, а.ч.</x:v>
      </x:c>
      <x:c r="J2" s="148" t="n">
        <x:f>D48</x:f>
        <x:v>32</x:v>
      </x:c>
    </x:row>
    <x:row r="3" ht="32" customHeight="1">
      <x:c r="A3" s="22" t="str">
        <x:v>1 семестр · 4 з.е. / 144 ч. · контактная работа: 64 а.ч. (32 ч. лекций + 32 ч. практических занятий) · самостоятельная работа: 80 ч. · форма аттестации: экзамен с защитой проекта</x:v>
      </x:c>
      <x:c r="B3" s="22"/>
      <x:c r="C3" s="22"/>
      <x:c r="D3" s="22"/>
      <x:c r="E3" s="22"/>
      <x:c r="F3" s="22"/>
      <x:c r="G3" s="22"/>
      <x:c r="I3" s="143" t="str">
        <x:v>Практические, а.ч.</x:v>
      </x:c>
      <x:c r="J3" s="148" t="n">
        <x:f>D49</x:f>
        <x:v>32</x:v>
      </x:c>
    </x:row>
    <x:row r="4" ht="27" customHeight="1">
      <x:c r="A4" s="30" t="str">
        <x:v>Структура построена в логике КРМ: каждый элемент дисциплины связан с компетенцией, индикатором и уровнем освоения.</x:v>
      </x:c>
      <x:c r="B4" s="30"/>
      <x:c r="C4" s="30"/>
      <x:c r="D4" s="30"/>
      <x:c r="E4" s="30"/>
      <x:c r="F4" s="30"/>
      <x:c r="G4" s="30"/>
      <x:c r="I4" s="143" t="str">
        <x:v>Контактная работа, а.ч.</x:v>
      </x:c>
      <x:c r="J4" s="148" t="n">
        <x:f>D47</x:f>
        <x:v>64</x:v>
      </x:c>
    </x:row>
    <x:row r="5" ht="36" customHeight="1">
      <x:c r="A5" s="38" t="str">
        <x:v>Элемент дисциплины</x:v>
      </x:c>
      <x:c r="B5" s="38" t="str">
        <x:v>Содержание
(тематические сущности)</x:v>
      </x:c>
      <x:c r="C5" s="38" t="str">
        <x:v>Форма
занятия</x:v>
      </x:c>
      <x:c r="D5" s="38" t="str">
        <x:v>Объем,
а.ч.</x:v>
      </x:c>
      <x:c r="E5" s="38" t="str">
        <x:v>Компетенция</x:v>
      </x:c>
      <x:c r="F5" s="38" t="str">
        <x:v>Индикатор</x:v>
      </x:c>
      <x:c r="G5" s="38" t="str">
        <x:v>Уровень</x:v>
      </x:c>
      <x:c r="I5" s="143" t="str">
        <x:v>Число учебных занятий</x:v>
      </x:c>
      <x:c r="J5" s="148" t="n">
        <x:f>COUNTIF(C6:C46,"Л")+COUNTIF(C6:C46,"П")</x:f>
        <x:v>32</x:v>
      </x:c>
    </x:row>
    <x:row r="6" ht="34" customHeight="1">
      <x:c r="A6" s="64" t="str">
        <x:v>Модуль 1. Вероятностная модель данных и информационные меры</x:v>
      </x:c>
      <x:c r="B6" s="64" t="str">
        <x:v>—</x:v>
      </x:c>
      <x:c r="C6" s="60" t="str">
        <x:v>—</x:v>
      </x:c>
      <x:c r="D6" s="60" t="n">
        <x:v>6</x:v>
      </x:c>
      <x:c r="E6" s="60" t="str">
        <x:v>MF-1</x:v>
      </x:c>
      <x:c r="F6" s="60" t="str">
        <x:v>1.2</x:v>
      </x:c>
      <x:c r="G6" s="60" t="str">
        <x:v>С</x:v>
      </x:c>
    </x:row>
    <x:row r="7" ht="55" customHeight="1">
      <x:c r="A7" s="66" t="str">
        <x:v>Занятие 1.1. Выборка и вероятностная модель данных</x:v>
      </x:c>
      <x:c r="B7" s="66" t="str">
        <x:v>Генеральная совокупность и выборка; механизм генерации данных; вероятностное пространство; условная вероятность; независимость; репрезентативность и смещения выборки.</x:v>
      </x:c>
      <x:c r="C7" s="67" t="str">
        <x:v>Л</x:v>
      </x:c>
      <x:c r="D7" s="68" t="n">
        <x:v>2</x:v>
      </x:c>
      <x:c r="E7" s="68" t="str">
        <x:v>MF-1</x:v>
      </x:c>
      <x:c r="F7" s="68" t="str">
        <x:v>1.2</x:v>
      </x:c>
      <x:c r="G7" s="74" t="str">
        <x:v>Б</x:v>
      </x:c>
    </x:row>
    <x:row r="8" ht="62" customHeight="1">
      <x:c r="A8" s="76" t="str">
        <x:v>Занятие 1.2. Случайные величины и распределения</x:v>
      </x:c>
      <x:c r="B8" s="76" t="str">
        <x:v>Дискретные и непрерывные случайные величины; функция распределения; математическое ожидание, дисперсия, ковариация; распределения Бернулли, биномиальное, Пуассона и нормальное.</x:v>
      </x:c>
      <x:c r="C8" s="77" t="str">
        <x:v>Л</x:v>
      </x:c>
      <x:c r="D8" s="78" t="n">
        <x:v>2</x:v>
      </x:c>
      <x:c r="E8" s="78" t="str">
        <x:v>MF-1</x:v>
      </x:c>
      <x:c r="F8" s="78" t="str">
        <x:v>1.2</x:v>
      </x:c>
      <x:c r="G8" s="74" t="str">
        <x:v>Б</x:v>
      </x:c>
    </x:row>
    <x:row r="9" ht="62" customHeight="1">
      <x:c r="A9" s="66" t="str">
        <x:v>Занятие 1.3. Предельные теоремы и информационные меры</x:v>
      </x:c>
      <x:c r="B9" s="66" t="str">
        <x:v>Закон больших чисел и центральная предельная теорема; моделирование Монте-Карло; энтропия, перекрестная энтропия, KL-дивергенция и взаимная информация; связь с функциями потерь.</x:v>
      </x:c>
      <x:c r="C9" s="67" t="str">
        <x:v>П</x:v>
      </x:c>
      <x:c r="D9" s="68" t="n">
        <x:v>2</x:v>
      </x:c>
      <x:c r="E9" s="68" t="str">
        <x:v>MF-1</x:v>
      </x:c>
      <x:c r="F9" s="68" t="str">
        <x:v>1.2</x:v>
      </x:c>
      <x:c r="G9" s="84" t="str">
        <x:v>С</x:v>
      </x:c>
    </x:row>
    <x:row r="10" ht="34" customHeight="1">
      <x:c r="A10" s="64" t="str">
        <x:v>Модуль 2. Разведочный, робастный и непараметрический анализ данных</x:v>
      </x:c>
      <x:c r="B10" s="64" t="str">
        <x:v>—</x:v>
      </x:c>
      <x:c r="C10" s="60" t="str">
        <x:v>—</x:v>
      </x:c>
      <x:c r="D10" s="60" t="n">
        <x:v>8</x:v>
      </x:c>
      <x:c r="E10" s="60" t="str">
        <x:v>MF-4</x:v>
      </x:c>
      <x:c r="F10" s="60" t="str">
        <x:v>4.1</x:v>
      </x:c>
      <x:c r="G10" s="60" t="str">
        <x:v>С</x:v>
      </x:c>
    </x:row>
    <x:row r="11" ht="55" customHeight="1">
      <x:c r="A11" s="76" t="str">
        <x:v>Занятие 2.1. Эмпирическое распределение и описательная статистика</x:v>
      </x:c>
      <x:c r="B11" s="76" t="str">
        <x:v>Эмпирическая функция распределения; меры положения, разброса, асимметрии и формы распределения; статистически корректная визуализация данных.</x:v>
      </x:c>
      <x:c r="C11" s="77" t="str">
        <x:v>Л</x:v>
      </x:c>
      <x:c r="D11" s="78" t="n">
        <x:v>2</x:v>
      </x:c>
      <x:c r="E11" s="78" t="str">
        <x:v>MF-4</x:v>
      </x:c>
      <x:c r="F11" s="78" t="str">
        <x:v>4.1</x:v>
      </x:c>
      <x:c r="G11" s="74" t="str">
        <x:v>Б</x:v>
      </x:c>
    </x:row>
    <x:row r="12" ht="55" customHeight="1">
      <x:c r="A12" s="66" t="str">
        <x:v>Занятие 2.2. Робастные оценки, выбросы и пропуски</x:v>
      </x:c>
      <x:c r="B12" s="66" t="str">
        <x:v>Медиана, квантили, усеченные средние, MAD; методы выявления выбросов; механизмы пропусков MCAR, MAR, MNAR; влияние обработки данных на смещение статистических выводов.</x:v>
      </x:c>
      <x:c r="C12" s="67" t="str">
        <x:v>П</x:v>
      </x:c>
      <x:c r="D12" s="68" t="n">
        <x:v>2</x:v>
      </x:c>
      <x:c r="E12" s="68" t="str">
        <x:v>MF-4</x:v>
      </x:c>
      <x:c r="F12" s="68" t="str">
        <x:v>4.1</x:v>
      </x:c>
      <x:c r="G12" s="74" t="str">
        <x:v>Б</x:v>
      </x:c>
    </x:row>
    <x:row r="13" ht="55" customHeight="1">
      <x:c r="A13" s="76" t="str">
        <x:v>Занятие 2.3. Статистические зависимости</x:v>
      </x:c>
      <x:c r="B13" s="76" t="str">
        <x:v>Ковариация; корреляции Пирсона, Спирмена и Кендалла; частная корреляция; ложные, нелинейные и смешанные зависимости; ограничения причинной интерпретации.</x:v>
      </x:c>
      <x:c r="C13" s="77" t="str">
        <x:v>Л</x:v>
      </x:c>
      <x:c r="D13" s="78" t="n">
        <x:v>2</x:v>
      </x:c>
      <x:c r="E13" s="78" t="str">
        <x:v>MF-4</x:v>
      </x:c>
      <x:c r="F13" s="78" t="str">
        <x:v>4.1</x:v>
      </x:c>
      <x:c r="G13" s="84" t="str">
        <x:v>С</x:v>
      </x:c>
    </x:row>
    <x:row r="14" ht="55" customHeight="1">
      <x:c r="A14" s="66" t="str">
        <x:v>Занятие 2.4. Непараметрические оценки и бутстреп</x:v>
      </x:c>
      <x:c r="B14" s="66" t="str">
        <x:v>Ядерная оценка плотности; эмпирические и ранговые методы; непараметрический бутстреп; подготовка воспроизводимого EDA-отчета и паспорта данных.</x:v>
      </x:c>
      <x:c r="C14" s="67" t="str">
        <x:v>П</x:v>
      </x:c>
      <x:c r="D14" s="68" t="n">
        <x:v>2</x:v>
      </x:c>
      <x:c r="E14" s="68" t="str">
        <x:v>MF-4</x:v>
      </x:c>
      <x:c r="F14" s="68" t="str">
        <x:v>4.1</x:v>
      </x:c>
      <x:c r="G14" s="84" t="str">
        <x:v>С</x:v>
      </x:c>
    </x:row>
    <x:row r="15" ht="34" customHeight="1">
      <x:c r="A15" s="64" t="str">
        <x:v>Модуль 3. Статистическое оценивание и количественный анализ неопределенности</x:v>
      </x:c>
      <x:c r="B15" s="64" t="str">
        <x:v>—</x:v>
      </x:c>
      <x:c r="C15" s="60" t="str">
        <x:v>—</x:v>
      </x:c>
      <x:c r="D15" s="60" t="n">
        <x:v>10</x:v>
      </x:c>
      <x:c r="E15" s="60" t="str">
        <x:v>MF-1; MF-2</x:v>
      </x:c>
      <x:c r="F15" s="60" t="str">
        <x:v>1.2; 2.1; 2.2</x:v>
      </x:c>
      <x:c r="G15" s="60" t="str">
        <x:v>С; С; Б</x:v>
      </x:c>
    </x:row>
    <x:row r="16" ht="55" customHeight="1">
      <x:c r="A16" s="76" t="str">
        <x:v>Занятие 3.1. Свойства точечных оценок и метод моментов</x:v>
      </x:c>
      <x:c r="B16" s="76" t="str">
        <x:v>Точечные оценки; смещение, состоятельность и эффективность; среднеквадратическая ошибка; метод моментов; влияние объема выборки.</x:v>
      </x:c>
      <x:c r="C16" s="77" t="str">
        <x:v>Л</x:v>
      </x:c>
      <x:c r="D16" s="78" t="n">
        <x:v>2</x:v>
      </x:c>
      <x:c r="E16" s="78" t="str">
        <x:v>MF-1</x:v>
      </x:c>
      <x:c r="F16" s="78" t="str">
        <x:v>1.2</x:v>
      </x:c>
      <x:c r="G16" s="74" t="str">
        <x:v>Б</x:v>
      </x:c>
    </x:row>
    <x:row r="17" ht="55" customHeight="1">
      <x:c r="A17" s="66" t="str">
        <x:v>Занятие 3.2. Правдоподобие, MLE и информация Фишера</x:v>
      </x:c>
      <x:c r="B17" s="66" t="str">
        <x:v>Функция правдоподобия; метод максимального правдоподобия; асимптотические свойства оценок; информация Фишера; неравенство Крамера—Рао.</x:v>
      </x:c>
      <x:c r="C17" s="67" t="str">
        <x:v>Л</x:v>
      </x:c>
      <x:c r="D17" s="68" t="n">
        <x:v>2</x:v>
      </x:c>
      <x:c r="E17" s="68" t="str">
        <x:v>MF-1</x:v>
      </x:c>
      <x:c r="F17" s="68" t="str">
        <x:v>1.2</x:v>
      </x:c>
      <x:c r="G17" s="84" t="str">
        <x:v>С</x:v>
      </x:c>
    </x:row>
    <x:row r="18" ht="55" customHeight="1">
      <x:c r="A18" s="76" t="str">
        <x:v>Занятие 3.3. Доверительные интервалы и бутстреп</x:v>
      </x:c>
      <x:c r="B18" s="76" t="str">
        <x:v>Точность оценивания; доверительные интервалы для параметров и статистик; параметрический и непараметрический бутстреп; интерпретация покрытия.</x:v>
      </x:c>
      <x:c r="C18" s="77" t="str">
        <x:v>П</x:v>
      </x:c>
      <x:c r="D18" s="78" t="n">
        <x:v>2</x:v>
      </x:c>
      <x:c r="E18" s="78" t="str">
        <x:v>MF-1</x:v>
      </x:c>
      <x:c r="F18" s="78" t="str">
        <x:v>1.2</x:v>
      </x:c>
      <x:c r="G18" s="84" t="str">
        <x:v>С</x:v>
      </x:c>
    </x:row>
    <x:row r="19" ht="55" customHeight="1">
      <x:c r="A19" s="66" t="str">
        <x:v>Занятие 3.4. Байесовский вывод и MAP-оценивание</x:v>
      </x:c>
      <x:c r="B19" s="66" t="str">
        <x:v>Теорема Байеса; априорное и апостериорное распределения; сопряженные модели; функция правдоподобия; MAP-оценивание; сопоставление с MLE.</x:v>
      </x:c>
      <x:c r="C19" s="67" t="str">
        <x:v>Л</x:v>
      </x:c>
      <x:c r="D19" s="68" t="n">
        <x:v>2</x:v>
      </x:c>
      <x:c r="E19" s="68" t="str">
        <x:v>MF-2</x:v>
      </x:c>
      <x:c r="F19" s="68" t="str">
        <x:v>2.1</x:v>
      </x:c>
      <x:c r="G19" s="84" t="str">
        <x:v>С</x:v>
      </x:c>
    </x:row>
    <x:row r="20" ht="55" customHeight="1">
      <x:c r="A20" s="76" t="str">
        <x:v>Занятие 3.5. Байесовские интервалы и сравнение подходов</x:v>
      </x:c>
      <x:c r="B20" s="76" t="str">
        <x:v>Байесовские интервалы; апостериорное предсказательное распределение; сравнение доверительной и байесовской интерпретаций; вычислительный эксперимент MLE—MAP—бутстреп.</x:v>
      </x:c>
      <x:c r="C20" s="77" t="str">
        <x:v>П</x:v>
      </x:c>
      <x:c r="D20" s="78" t="n">
        <x:v>2</x:v>
      </x:c>
      <x:c r="E20" s="78" t="str">
        <x:v>MF-2</x:v>
      </x:c>
      <x:c r="F20" s="78" t="str">
        <x:v>2.2</x:v>
      </x:c>
      <x:c r="G20" s="74" t="str">
        <x:v>Б</x:v>
      </x:c>
    </x:row>
    <x:row r="21" ht="34" customHeight="1">
      <x:c r="A21" s="64" t="str">
        <x:v>Модуль 4. Проверка статистических гипотез и планирование ML-эксперимента</x:v>
      </x:c>
      <x:c r="B21" s="64" t="str">
        <x:v>—</x:v>
      </x:c>
      <x:c r="C21" s="60" t="str">
        <x:v>—</x:v>
      </x:c>
      <x:c r="D21" s="60" t="n">
        <x:v>10</x:v>
      </x:c>
      <x:c r="E21" s="60" t="str">
        <x:v>MF-1</x:v>
      </x:c>
      <x:c r="F21" s="60" t="str">
        <x:v>1.3</x:v>
      </x:c>
      <x:c r="G21" s="60" t="str">
        <x:v>С</x:v>
      </x:c>
    </x:row>
    <x:row r="22" ht="55" customHeight="1">
      <x:c r="A22" s="66" t="str">
        <x:v>Занятие 4.1. Логика проверки статистических гипотез</x:v>
      </x:c>
      <x:c r="B22" s="66" t="str">
        <x:v>Нулевая и альтернативная гипотезы; статистика критерия; критическая область; ошибки первого и второго рода; p-value; статистическая мощность.</x:v>
      </x:c>
      <x:c r="C22" s="67" t="str">
        <x:v>Л</x:v>
      </x:c>
      <x:c r="D22" s="68" t="n">
        <x:v>2</x:v>
      </x:c>
      <x:c r="E22" s="68" t="str">
        <x:v>MF-1</x:v>
      </x:c>
      <x:c r="F22" s="68" t="str">
        <x:v>1.3</x:v>
      </x:c>
      <x:c r="G22" s="74" t="str">
        <x:v>Б</x:v>
      </x:c>
    </x:row>
    <x:row r="23" ht="55" customHeight="1">
      <x:c r="A23" s="76" t="str">
        <x:v>Занятие 4.2. Параметрические критерии</x:v>
      </x:c>
      <x:c r="B23" s="76" t="str">
        <x:v>Проверка гипотез о средних, долях и дисперсиях; парные и независимые выборки; критерии согласия и независимости; проверка предпосылок.</x:v>
      </x:c>
      <x:c r="C23" s="77" t="str">
        <x:v>П</x:v>
      </x:c>
      <x:c r="D23" s="78" t="n">
        <x:v>2</x:v>
      </x:c>
      <x:c r="E23" s="78" t="str">
        <x:v>MF-1</x:v>
      </x:c>
      <x:c r="F23" s="78" t="str">
        <x:v>1.3</x:v>
      </x:c>
      <x:c r="G23" s="74" t="str">
        <x:v>Б</x:v>
      </x:c>
    </x:row>
    <x:row r="24" ht="55" customHeight="1">
      <x:c r="A24" s="66" t="str">
        <x:v>Занятие 4.3. Непараметрические критерии и парные сравнения</x:v>
      </x:c>
      <x:c r="B24" s="66" t="str">
        <x:v>Знаковые и ранговые критерии; критерии Манна—Уитни, Вилкоксона и Краскела—Уоллиса; выбор критерия с учетом шкалы и структуры данных.</x:v>
      </x:c>
      <x:c r="C24" s="67" t="str">
        <x:v>П</x:v>
      </x:c>
      <x:c r="D24" s="68" t="n">
        <x:v>2</x:v>
      </x:c>
      <x:c r="E24" s="68" t="str">
        <x:v>MF-1</x:v>
      </x:c>
      <x:c r="F24" s="68" t="str">
        <x:v>1.3</x:v>
      </x:c>
      <x:c r="G24" s="84" t="str">
        <x:v>С</x:v>
      </x:c>
    </x:row>
    <x:row r="25" ht="55" customHeight="1">
      <x:c r="A25" s="76" t="str">
        <x:v>Занятие 4.4. Мощность, размер эффекта и множественные проверки</x:v>
      </x:c>
      <x:c r="B25" s="76" t="str">
        <x:v>Размер эффекта; расчет требуемого объема выборки; множественное тестирование; поправки Бонферрони и Холма; контроль ложных открытий.</x:v>
      </x:c>
      <x:c r="C25" s="77" t="str">
        <x:v>Л</x:v>
      </x:c>
      <x:c r="D25" s="78" t="n">
        <x:v>2</x:v>
      </x:c>
      <x:c r="E25" s="78" t="str">
        <x:v>MF-1</x:v>
      </x:c>
      <x:c r="F25" s="78" t="str">
        <x:v>1.3</x:v>
      </x:c>
      <x:c r="G25" s="84" t="str">
        <x:v>С</x:v>
      </x:c>
    </x:row>
    <x:row r="26" ht="55" customHeight="1">
      <x:c r="A26" s="66" t="str">
        <x:v>Занятие 4.5. Проектирование и анализ A/B-эксперимента</x:v>
      </x:c>
      <x:c r="B26" s="66" t="str">
        <x:v>Выбор метрики; рандомизация, стратификация и контроль смешивающих факторов; расчет мощности; статистическая и практическая значимость; протокол эксперимента.</x:v>
      </x:c>
      <x:c r="C26" s="67" t="str">
        <x:v>П</x:v>
      </x:c>
      <x:c r="D26" s="68" t="n">
        <x:v>2</x:v>
      </x:c>
      <x:c r="E26" s="68" t="str">
        <x:v>MF-1</x:v>
      </x:c>
      <x:c r="F26" s="68" t="str">
        <x:v>1.3</x:v>
      </x:c>
      <x:c r="G26" s="84" t="str">
        <x:v>С</x:v>
      </x:c>
    </x:row>
    <x:row r="27" ht="34" customHeight="1">
      <x:c r="A27" s="64" t="str">
        <x:v>Модуль 5. Статистические модели машинного обучения</x:v>
      </x:c>
      <x:c r="B27" s="64" t="str">
        <x:v>—</x:v>
      </x:c>
      <x:c r="C27" s="60" t="str">
        <x:v>—</x:v>
      </x:c>
      <x:c r="D27" s="60" t="n">
        <x:v>10</x:v>
      </x:c>
      <x:c r="E27" s="60" t="str">
        <x:v>MF-4</x:v>
      </x:c>
      <x:c r="F27" s="60" t="str">
        <x:v>4.1</x:v>
      </x:c>
      <x:c r="G27" s="60" t="str">
        <x:v>С</x:v>
      </x:c>
    </x:row>
    <x:row r="28" ht="55" customHeight="1">
      <x:c r="A28" s="76" t="str">
        <x:v>Занятие 5.1. Линейная регрессия как статистическая модель</x:v>
      </x:c>
      <x:c r="B28" s="76" t="str">
        <x:v>Вероятностная постановка линейной регрессии; метод наименьших квадратов и MLE; предпосылки модели; интерпретация коэффициентов и неопределенности.</x:v>
      </x:c>
      <x:c r="C28" s="77" t="str">
        <x:v>Л</x:v>
      </x:c>
      <x:c r="D28" s="78" t="n">
        <x:v>2</x:v>
      </x:c>
      <x:c r="E28" s="78" t="str">
        <x:v>MF-4</x:v>
      </x:c>
      <x:c r="F28" s="78" t="str">
        <x:v>4.1</x:v>
      </x:c>
      <x:c r="G28" s="74" t="str">
        <x:v>Б</x:v>
      </x:c>
    </x:row>
    <x:row r="29" ht="55" customHeight="1">
      <x:c r="A29" s="66" t="str">
        <x:v>Занятие 5.2. Диагностика регрессионных моделей</x:v>
      </x:c>
      <x:c r="B29" s="66" t="str">
        <x:v>Анализ остатков; гетероскедастичность; мультиколлинеарность; влиятельные наблюдения; преобразования переменных; робастные стандартные ошибки.</x:v>
      </x:c>
      <x:c r="C29" s="67" t="str">
        <x:v>П</x:v>
      </x:c>
      <x:c r="D29" s="68" t="n">
        <x:v>2</x:v>
      </x:c>
      <x:c r="E29" s="68" t="str">
        <x:v>MF-4</x:v>
      </x:c>
      <x:c r="F29" s="68" t="str">
        <x:v>4.1</x:v>
      </x:c>
      <x:c r="G29" s="84" t="str">
        <x:v>С</x:v>
      </x:c>
    </x:row>
    <x:row r="30" ht="55" customHeight="1">
      <x:c r="A30" s="76" t="str">
        <x:v>Занятие 5.3. Логистическая регрессия и обобщенные линейные модели</x:v>
      </x:c>
      <x:c r="B30" s="76" t="str">
        <x:v>Экспоненциальное семейство распределений; функция связи; логистическая и пуассоновская регрессия; правдоподобие и интерпретация вероятностного прогноза.</x:v>
      </x:c>
      <x:c r="C30" s="77" t="str">
        <x:v>Л</x:v>
      </x:c>
      <x:c r="D30" s="78" t="n">
        <x:v>2</x:v>
      </x:c>
      <x:c r="E30" s="78" t="str">
        <x:v>MF-4</x:v>
      </x:c>
      <x:c r="F30" s="78" t="str">
        <x:v>4.1</x:v>
      </x:c>
      <x:c r="G30" s="74" t="str">
        <x:v>Б</x:v>
      </x:c>
    </x:row>
    <x:row r="31" ht="55" customHeight="1">
      <x:c r="A31" s="66" t="str">
        <x:v>Занятие 5.4. Регуляризация и выбор признаков</x:v>
      </x:c>
      <x:c r="B31" s="66" t="str">
        <x:v>L1- и L2-регуляризация; регуляризация как штраф и как априорное предположение; выбор признаков; компромисс смещения и дисперсии.</x:v>
      </x:c>
      <x:c r="C31" s="67" t="str">
        <x:v>Л</x:v>
      </x:c>
      <x:c r="D31" s="68" t="n">
        <x:v>2</x:v>
      </x:c>
      <x:c r="E31" s="68" t="str">
        <x:v>MF-4</x:v>
      </x:c>
      <x:c r="F31" s="68" t="str">
        <x:v>4.1</x:v>
      </x:c>
      <x:c r="G31" s="84" t="str">
        <x:v>С</x:v>
      </x:c>
    </x:row>
    <x:row r="32" ht="55" customHeight="1">
      <x:c r="A32" s="76" t="str">
        <x:v>Занятие 5.5. Вероятностные предсказания и интервальный прогноз</x:v>
      </x:c>
      <x:c r="B32" s="76" t="str">
        <x:v>Калибровка вероятностей; Brier score и log loss; доверительные и предсказательные интервалы; оценка устойчивости и интерпретируемости статистической модели.</x:v>
      </x:c>
      <x:c r="C32" s="77" t="str">
        <x:v>П</x:v>
      </x:c>
      <x:c r="D32" s="78" t="n">
        <x:v>2</x:v>
      </x:c>
      <x:c r="E32" s="78" t="str">
        <x:v>MF-4</x:v>
      </x:c>
      <x:c r="F32" s="78" t="str">
        <x:v>4.1</x:v>
      </x:c>
      <x:c r="G32" s="84" t="str">
        <x:v>С</x:v>
      </x:c>
    </x:row>
    <x:row r="33" ht="34" customHeight="1">
      <x:c r="A33" s="64" t="str">
        <x:v>Модуль 6. Статистический анализ зависимых данных и временных рядов</x:v>
      </x:c>
      <x:c r="B33" s="64" t="str">
        <x:v>—</x:v>
      </x:c>
      <x:c r="C33" s="60" t="str">
        <x:v>—</x:v>
      </x:c>
      <x:c r="D33" s="60" t="n">
        <x:v>6</x:v>
      </x:c>
      <x:c r="E33" s="60" t="str">
        <x:v>MF-4</x:v>
      </x:c>
      <x:c r="F33" s="60" t="str">
        <x:v>4.2</x:v>
      </x:c>
      <x:c r="G33" s="60" t="str">
        <x:v>Б</x:v>
      </x:c>
    </x:row>
    <x:row r="34" ht="55" customHeight="1">
      <x:c r="A34" s="66" t="str">
        <x:v>Занятие 6.1. Зависимые наблюдения и стационарность</x:v>
      </x:c>
      <x:c r="B34" s="66" t="str">
        <x:v>Отличие временного ряда от независимой выборки; тренд, сезонность и остаток; слабая стационарность; автокорреляционная и частная автокорреляционная функции.</x:v>
      </x:c>
      <x:c r="C34" s="67" t="str">
        <x:v>Л</x:v>
      </x:c>
      <x:c r="D34" s="68" t="n">
        <x:v>2</x:v>
      </x:c>
      <x:c r="E34" s="68" t="str">
        <x:v>MF-4</x:v>
      </x:c>
      <x:c r="F34" s="68" t="str">
        <x:v>4.2</x:v>
      </x:c>
      <x:c r="G34" s="74" t="str">
        <x:v>Б</x:v>
      </x:c>
    </x:row>
    <x:row r="35" ht="55" customHeight="1">
      <x:c r="A35" s="76" t="str">
        <x:v>Занятие 6.2. Модели AR, MA и ARIMA</x:v>
      </x:c>
      <x:c r="B35" s="76" t="str">
        <x:v>Авторегрессионные модели, модели скользящего среднего и ARIMA; идентификация порядка; оценивание параметров; наивные и сезонные бейзлайны.</x:v>
      </x:c>
      <x:c r="C35" s="77" t="str">
        <x:v>Л</x:v>
      </x:c>
      <x:c r="D35" s="78" t="n">
        <x:v>2</x:v>
      </x:c>
      <x:c r="E35" s="78" t="str">
        <x:v>MF-4</x:v>
      </x:c>
      <x:c r="F35" s="78" t="str">
        <x:v>4.2</x:v>
      </x:c>
      <x:c r="G35" s="74" t="str">
        <x:v>Б</x:v>
      </x:c>
    </x:row>
    <x:row r="36" ht="55" customHeight="1">
      <x:c r="A36" s="66" t="str">
        <x:v>Занятие 6.3. Временная валидация и дрейф</x:v>
      </x:c>
      <x:c r="B36" s="66" t="str">
        <x:v>Скользящее и расширяющееся окно; запрет перемешивания будущего и прошлого; метрики прогноза; дрейф данных и концепции; сравнение с бейзлайном.</x:v>
      </x:c>
      <x:c r="C36" s="67" t="str">
        <x:v>П</x:v>
      </x:c>
      <x:c r="D36" s="68" t="n">
        <x:v>2</x:v>
      </x:c>
      <x:c r="E36" s="68" t="str">
        <x:v>MF-4</x:v>
      </x:c>
      <x:c r="F36" s="68" t="str">
        <x:v>4.2</x:v>
      </x:c>
      <x:c r="G36" s="74" t="str">
        <x:v>Б</x:v>
      </x:c>
    </x:row>
    <x:row r="37" ht="34" customHeight="1">
      <x:c r="A37" s="64" t="str">
        <x:v>Модуль 7. Обобщающая способность, валидация и статистическое сравнение моделей</x:v>
      </x:c>
      <x:c r="B37" s="64" t="str">
        <x:v>—</x:v>
      </x:c>
      <x:c r="C37" s="60" t="str">
        <x:v>—</x:v>
      </x:c>
      <x:c r="D37" s="60" t="n">
        <x:v>10</x:v>
      </x:c>
      <x:c r="E37" s="60" t="str">
        <x:v>MF-4</x:v>
      </x:c>
      <x:c r="F37" s="60" t="str">
        <x:v>4.3</x:v>
      </x:c>
      <x:c r="G37" s="60" t="str">
        <x:v>С</x:v>
      </x:c>
    </x:row>
    <x:row r="38" ht="55" customHeight="1">
      <x:c r="A38" s="76" t="str">
        <x:v>Занятие 7.1. Обобщающая способность и компромисс смещения и дисперсии</x:v>
      </x:c>
      <x:c r="B38" s="76" t="str">
        <x:v>Эмпирический и ожидаемый риск; переобучение и недообучение; декомпозиция ошибки; роль объема и сложности модели; кривые обучения.</x:v>
      </x:c>
      <x:c r="C38" s="77" t="str">
        <x:v>Л</x:v>
      </x:c>
      <x:c r="D38" s="78" t="n">
        <x:v>2</x:v>
      </x:c>
      <x:c r="E38" s="78" t="str">
        <x:v>MF-4</x:v>
      </x:c>
      <x:c r="F38" s="78" t="str">
        <x:v>4.3</x:v>
      </x:c>
      <x:c r="G38" s="74" t="str">
        <x:v>Б</x:v>
      </x:c>
    </x:row>
    <x:row r="39" ht="55" customHeight="1">
      <x:c r="A39" s="66" t="str">
        <x:v>Занятие 7.2. Схемы валидации и предотвращение утечки данных</x:v>
      </x:c>
      <x:c r="B39" s="66" t="str">
        <x:v>Train/validation/test; k-fold и стратифицированная кросс-валидация; nested CV; групповые и временные разбиения; утечки данных и корректный ML-пайплайн.</x:v>
      </x:c>
      <x:c r="C39" s="67" t="str">
        <x:v>П</x:v>
      </x:c>
      <x:c r="D39" s="68" t="n">
        <x:v>2</x:v>
      </x:c>
      <x:c r="E39" s="68" t="str">
        <x:v>MF-4</x:v>
      </x:c>
      <x:c r="F39" s="68" t="str">
        <x:v>4.3</x:v>
      </x:c>
      <x:c r="G39" s="84" t="str">
        <x:v>С</x:v>
      </x:c>
    </x:row>
    <x:row r="40" ht="55" customHeight="1">
      <x:c r="A40" s="76" t="str">
        <x:v>Занятие 7.3. Метрики качества и несбалансированные данные</x:v>
      </x:c>
      <x:c r="B40" s="76" t="str">
        <x:v>Метрики регрессии, классификации и кластеризации; матрица ошибок; ROC- и PR-кривые; выбор порога; дисбаланс классов; связь метрики с прикладной целью.</x:v>
      </x:c>
      <x:c r="C40" s="77" t="str">
        <x:v>Л</x:v>
      </x:c>
      <x:c r="D40" s="78" t="n">
        <x:v>2</x:v>
      </x:c>
      <x:c r="E40" s="78" t="str">
        <x:v>MF-4</x:v>
      </x:c>
      <x:c r="F40" s="78" t="str">
        <x:v>4.3</x:v>
      </x:c>
      <x:c r="G40" s="74" t="str">
        <x:v>Б</x:v>
      </x:c>
    </x:row>
    <x:row r="41" ht="55" customHeight="1">
      <x:c r="A41" s="66" t="str">
        <x:v>Занятие 7.4. Неопределенность метрик и калибровка</x:v>
      </x:c>
      <x:c r="B41" s="66" t="str">
        <x:v>Доверительные интервалы для метрик; бутстреп и повторная кросс-валидация; калибровочные кривые; оценка надежности вероятностного прогноза.</x:v>
      </x:c>
      <x:c r="C41" s="67" t="str">
        <x:v>П</x:v>
      </x:c>
      <x:c r="D41" s="68" t="n">
        <x:v>2</x:v>
      </x:c>
      <x:c r="E41" s="68" t="str">
        <x:v>MF-4</x:v>
      </x:c>
      <x:c r="F41" s="68" t="str">
        <x:v>4.3</x:v>
      </x:c>
      <x:c r="G41" s="84" t="str">
        <x:v>С</x:v>
      </x:c>
    </x:row>
    <x:row r="42" ht="55" customHeight="1">
      <x:c r="A42" s="76" t="str">
        <x:v>Занятие 7.5. Статистическое сравнение моделей и воспроизводимость</x:v>
      </x:c>
      <x:c r="B42" s="76" t="str">
        <x:v>Парные тесты; критерий Макнемара; бутстреп-сравнение; AIC и BIC; множественное сравнение алгоритмов; протокол воспроизводимого эксперимента.</x:v>
      </x:c>
      <x:c r="C42" s="77" t="str">
        <x:v>П</x:v>
      </x:c>
      <x:c r="D42" s="78" t="n">
        <x:v>2</x:v>
      </x:c>
      <x:c r="E42" s="78" t="str">
        <x:v>MF-4</x:v>
      </x:c>
      <x:c r="F42" s="78" t="str">
        <x:v>4.3</x:v>
      </x:c>
      <x:c r="G42" s="84" t="str">
        <x:v>С</x:v>
      </x:c>
    </x:row>
    <x:row r="43" ht="34" customHeight="1">
      <x:c r="A43" s="64" t="str">
        <x:v>Модуль 8. Комплексный статистический эксперимент в машинном обучении</x:v>
      </x:c>
      <x:c r="B43" s="64" t="str">
        <x:v>—</x:v>
      </x:c>
      <x:c r="C43" s="60" t="str">
        <x:v>—</x:v>
      </x:c>
      <x:c r="D43" s="60" t="n">
        <x:v>4</x:v>
      </x:c>
      <x:c r="E43" s="60" t="str">
        <x:v>MF-4</x:v>
      </x:c>
      <x:c r="F43" s="60" t="str">
        <x:v>4.1; 4.3</x:v>
      </x:c>
      <x:c r="G43" s="60" t="str">
        <x:v>С</x:v>
      </x:c>
    </x:row>
    <x:row r="44" ht="55" customHeight="1">
      <x:c r="A44" s="66" t="str">
        <x:v>Занятие 8.1. Проектный практикум: постановка и план статистического исследования</x:v>
      </x:c>
      <x:c r="B44" s="66" t="str">
        <x:v>Постановка задачи; модель генерации данных; паспорт и контроль качества данных; EDA; формулирование гипотез; выбор методов оценивания, моделирования и валидации.</x:v>
      </x:c>
      <x:c r="C44" s="67" t="str">
        <x:v>П</x:v>
      </x:c>
      <x:c r="D44" s="68" t="n">
        <x:v>2</x:v>
      </x:c>
      <x:c r="E44" s="68" t="str">
        <x:v>MF-4</x:v>
      </x:c>
      <x:c r="F44" s="68" t="str">
        <x:v>4.1</x:v>
      </x:c>
      <x:c r="G44" s="84" t="str">
        <x:v>С</x:v>
      </x:c>
    </x:row>
    <x:row r="45" ht="55" customHeight="1">
      <x:c r="A45" s="76" t="str">
        <x:v>Занятие 8.2. Защита комплексного статистического эксперимента</x:v>
      </x:c>
      <x:c r="B45" s="76" t="str">
        <x:v>Сравнение не менее двух моделей или статистических подходов; интервальные оценки метрик; анализ устойчивости; ограничения применимости; воспроизводимый отчет и устная защита.</x:v>
      </x:c>
      <x:c r="C45" s="77" t="str">
        <x:v>П</x:v>
      </x:c>
      <x:c r="D45" s="78" t="n">
        <x:v>2</x:v>
      </x:c>
      <x:c r="E45" s="78" t="str">
        <x:v>MF-4</x:v>
      </x:c>
      <x:c r="F45" s="78" t="str">
        <x:v>4.3</x:v>
      </x:c>
      <x:c r="G45" s="84" t="str">
        <x:v>С</x:v>
      </x:c>
    </x:row>
    <x:row r="46" ht="58" customHeight="1">
      <x:c r="A46" s="98" t="str">
        <x:v>Промежуточная аттестация. Экзамен с защитой интеграционного проекта</x:v>
      </x:c>
      <x:c r="B46" s="98" t="str">
        <x:v>Комплексное индивидуальное задание: статистический анализ данных, оценивание неопределенности, проверка гипотез, построение и валидация модели, сравнение альтернатив и устная защита.</x:v>
      </x:c>
      <x:c r="C46" s="94" t="str">
        <x:v>Экзамен</x:v>
      </x:c>
      <x:c r="D46" s="94" t="str">
        <x:v>—</x:v>
      </x:c>
      <x:c r="E46" s="94" t="str">
        <x:v>MF-1; MF-2; MF-4</x:v>
      </x:c>
      <x:c r="F46" s="94" t="str">
        <x:v>1.2; 1.3; 2.1; 2.2; 4.1; 4.2; 4.3</x:v>
      </x:c>
      <x:c r="G46" s="94" t="str">
        <x:v>С; С; С; Б; С; Б; С</x:v>
      </x:c>
    </x:row>
    <x:row r="47" ht="24" customHeight="1">
      <x:c r="A47" s="124" t="str">
        <x:v>ИТОГО КОНТАКТНАЯ РАБОТА</x:v>
      </x:c>
      <x:c r="B47" s="124" t="str"/>
      <x:c r="C47" s="108" t="str">
        <x:v>Л + П</x:v>
      </x:c>
      <x:c r="D47" s="108" t="n">
        <x:f>SUMIF(C6:C46,"Л",D6:D46)+SUMIF(C6:C46,"П",D6:D46)</x:f>
        <x:v>64</x:v>
      </x:c>
      <x:c r="E47" s="108" t="str"/>
      <x:c r="F47" s="108" t="str"/>
      <x:c r="G47" s="108" t="str"/>
    </x:row>
    <x:row r="48" ht="24" customHeight="1">
      <x:c r="A48" s="125" t="str">
        <x:v>в том числе лекции</x:v>
      </x:c>
      <x:c r="B48" s="125" t="str"/>
      <x:c r="C48" s="120" t="str">
        <x:v>Л</x:v>
      </x:c>
      <x:c r="D48" s="120" t="n">
        <x:f>SUMIF(C6:C46,"Л",D6:D46)</x:f>
        <x:v>32</x:v>
      </x:c>
      <x:c r="E48" s="120" t="str"/>
      <x:c r="F48" s="120" t="str"/>
      <x:c r="G48" s="120" t="str"/>
    </x:row>
    <x:row r="49" ht="24" customHeight="1">
      <x:c r="A49" s="125" t="str">
        <x:v>в том числе практические занятия</x:v>
      </x:c>
      <x:c r="B49" s="125" t="str"/>
      <x:c r="C49" s="120" t="str">
        <x:v>П</x:v>
      </x:c>
      <x:c r="D49" s="120" t="n">
        <x:f>SUMIF(C6:C46,"П",D6:D46)</x:f>
        <x:v>32</x:v>
      </x:c>
      <x:c r="E49" s="120" t="str"/>
      <x:c r="F49" s="120" t="str"/>
      <x:c r="G49" s="120" t="str"/>
    </x:row>
  </x:sheetData>
  <x:mergeCells>
    <x:mergeCell ref="A1:G1"/>
    <x:mergeCell ref="A2:G2"/>
    <x:mergeCell ref="A3:G3"/>
    <x:mergeCell ref="A4:G4"/>
    <x:mergeCell ref="I1:J1"/>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30" hidden="0" customWidth="1"/>
    <x:col min="3" max="3" width="58" hidden="0" customWidth="1"/>
    <x:col min="4" max="4" width="48" hidden="0" customWidth="1"/>
    <x:col min="5" max="5" width="48" hidden="0" customWidth="1"/>
    <x:col min="6" max="6" width="48" hidden="0" customWidth="1"/>
    <x:col min="7" max="7" width="65" hidden="0" customWidth="1"/>
    <x:col min="8" max="8" width="18" hidden="0" customWidth="1"/>
  </x:cols>
  <x:sheetData>
    <x:row r="1" ht="28" customHeight="1">
      <x:c r="A1" s="152" t="str">
        <x:v>СПРАВОЧНИК ИНДИКАТОРОВ КРМ, ИСПОЛЬЗУЕМЫХ В ДИСЦИПЛИНЕ</x:v>
      </x:c>
      <x:c r="B1" s="152"/>
      <x:c r="C1" s="152"/>
      <x:c r="D1" s="152"/>
      <x:c r="E1" s="152"/>
      <x:c r="F1" s="152"/>
      <x:c r="G1" s="152"/>
      <x:c r="H1" s="152"/>
    </x:row>
    <x:row r="2" ht="32" customHeight="1">
      <x:c r="A2" s="158" t="str">
        <x:v>Источник: файл "KRM-versia3_0.xlsx", лист "Профессиональные". В столбце H зафиксирован целевой итоговый уровень в данной дисциплине.</x:v>
      </x:c>
      <x:c r="B2" s="158"/>
      <x:c r="C2" s="158"/>
      <x:c r="D2" s="158"/>
      <x:c r="E2" s="158"/>
      <x:c r="F2" s="158"/>
      <x:c r="G2" s="158"/>
      <x:c r="H2" s="158"/>
    </x:row>
    <x:row r="4" ht="42" customHeight="1">
      <x:c r="A4" s="166" t="str">
        <x:v>Компетенция</x:v>
      </x:c>
      <x:c r="B4" s="166" t="str">
        <x:v>Направление компетенции</x:v>
      </x:c>
      <x:c r="C4" s="166" t="str">
        <x:v>Индикатор</x:v>
      </x:c>
      <x:c r="D4" s="166" t="str">
        <x:v>Базовый уровень КРМ</x:v>
      </x:c>
      <x:c r="E4" s="166" t="str">
        <x:v>Средний уровень КРМ</x:v>
      </x:c>
      <x:c r="F4" s="166" t="str">
        <x:v>Продвинутый уровень КРМ</x:v>
      </x:c>
      <x:c r="G4" s="166" t="str">
        <x:v>Рекомендуемые темы КРМ</x:v>
      </x:c>
      <x:c r="H4" s="166" t="str">
        <x:v>Итоговый уровень
в дисциплине</x:v>
      </x:c>
    </x:row>
    <x:row r="5" ht="128" customHeight="1">
      <x:c r="A5" s="192" t="str">
        <x:v>MF-1</x:v>
      </x:c>
      <x:c r="B5" s="192" t="str">
        <x:v>Основы теории вероятностей, математической статистики и теории информации</x:v>
      </x:c>
      <x:c r="C5" s="172" t="str">
        <x:v>MF-1.2.Применяет аппарат теории вероятностей, математической статистики и теории информации для формулирования и анализа задач искусственного интеллекта.</x:v>
      </x:c>
      <x:c r="D5" s="172" t="str">
        <x:v>Проводит оценку распределений и статистических зависимостей</x:v>
      </x:c>
      <x:c r="E5" s="172" t="str">
        <x:v>Применяет методы теории вероятностей, статистики и теории информации для решения задач анализа данных, оценки параметров моделей и анализа статистических зависимостей в задачах ИИ.</x:v>
      </x:c>
      <x:c r="F5" s="172" t="str">
        <x:v>Применяет подходы к оценке и конструированию распределений сложной формы, методы оценки нелинейной статистической зависимости, в том числе для случайных процессов.</x:v>
      </x:c>
      <x:c r="G5" s="172" t="str">
        <x:v>Теория вероятностей, математическая статистика, теория информации, вероятностное пространство, случайные величины, распределения вероятностей, теорема Байеса, марковские процессы, статистический вывод, метод максимального правдоподобия, энтропия Шеннона, дивергенция Кульбака-Лейблера, взаимная информация, статистическая теория обучения, байесовские сети.</x:v>
      </x:c>
      <x:c r="H5" s="180" t="str">
        <x:v>С</x:v>
      </x:c>
    </x:row>
    <x:row r="6" ht="128" customHeight="1">
      <x:c r="A6" s="193" t="str">
        <x:v>MF-1</x:v>
      </x:c>
      <x:c r="B6" s="193" t="str">
        <x:v>Основы теории вероятностей, математической статистики и теории информации</x:v>
      </x:c>
      <x:c r="C6" s="182" t="str">
        <x:v>MF-1.3.Применяет аппарат теории вероятностей для исследования методов и моделей машинного обучения.</x:v>
      </x:c>
      <x:c r="D6" s="182" t="str">
        <x:v>Применяет популярные статистические критерии для проверки базовых гипотез, владеет терминологией.</x:v>
      </x:c>
      <x:c r="E6" s="182" t="str">
        <x:v>Формулирует отличия в постановке задачи о проверке гипотезы от постановки для популярных критериев, применяет специализированные критерии.</x:v>
      </x:c>
      <x:c r="F6" s="182" t="str">
        <x:v>Формулирует нестандартные гипотезы и самостоятельно разрабатывает статистические критерии на основе приближенных генеративных методов.</x:v>
      </x:c>
      <x:c r="G6" s="182" t="str">
        <x:v>Теория вероятностей, вероятностное пространство, случайные величины, распределения вероятностей, теорема Байеса, марковские процессы, теория случайных процессов, статистический вывод, теория оценок, метод максимального правдоподобия, статистическая теория обучения, байесовские сети, теория экстремальных значений, концентрационные неравенства, теория случайных матриц.
</x:v>
      </x:c>
      <x:c r="H6" s="180" t="str">
        <x:v>С</x:v>
      </x:c>
    </x:row>
    <x:row r="7" ht="128" customHeight="1">
      <x:c r="A7" s="192" t="str">
        <x:v>MF-2</x:v>
      </x:c>
      <x:c r="B7" s="192" t="str">
        <x:v>Байесовская статистика и моделирование</x:v>
      </x:c>
      <x:c r="C7" s="172" t="str">
        <x:v>MF-2.1. Использует теорему Байеса и её следствия, понимает отличия байесовской статистики от частотного подхода.</x:v>
      </x:c>
      <x:c r="D7" s="172" t="str">
        <x:v>Знает теорему Байеса и основные следствия, понимает её связь с частотным подходом и может объяснить различия между байесовской и частотной статистикой.</x:v>
      </x:c>
      <x:c r="E7" s="172" t="str">
        <x:v>Использует теорему Байеса для решения простых задач и объясняет, как байесовский подход применяется для оценки вероятностей и анализов.</x:v>
      </x:c>
      <x:c r="F7" s="172" t="str">
        <x:v>Математически обосновывает и применяет теорему Байеса для решения сложных задач в статистике и моделировании, активно использует байесовский подход для анализа неопределенности.</x:v>
      </x:c>
      <x:c r="G7" s="172" t="str">
        <x:v>Теорема Байеса, байесовская вероятность, априорное и апостериорное распределения, функция правдоподобия, байесовский вывод, байесовские сети, частотный подход, статистический вывод.</x:v>
      </x:c>
      <x:c r="H7" s="180" t="str">
        <x:v>С</x:v>
      </x:c>
    </x:row>
    <x:row r="8" ht="128" customHeight="1">
      <x:c r="A8" s="193" t="str">
        <x:v>MF-2</x:v>
      </x:c>
      <x:c r="B8" s="193" t="str">
        <x:v>Байесовская статистика и моделирование</x:v>
      </x:c>
      <x:c r="C8" s="182" t="str">
        <x:v>MF-2.2. Применяет байесовские методы оценивания и байесовские интервалы для решения задач статистики и построения моделей.</x:v>
      </x:c>
      <x:c r="D8" s="182" t="str">
        <x:v>Применяет базовые байесовские методы оценивания для простых задач статистики и использует байесовские интервалы для интерпретации данных.</x:v>
      </x:c>
      <x:c r="E8" s="182" t="str">
        <x:v>Успешно применяет байесовские методы для решения задач в контексте машинного обучения и анализа данных, включая более сложные статистические задачи.</x:v>
      </x:c>
      <x:c r="F8" s="182" t="str">
        <x:v>Разрабатывает и применяет сложные байесовские методы оценивания, включая адаптивные подходы, для решения нестандартных задач и улучшения качества моделей.</x:v>
      </x:c>
      <x:c r="G8" s="182" t="str">
        <x:v>Байесовские методы оценивания, байесовские интервалы, априорное распределение, апостериорное распределение, функция правдоподобия, метод максимального правдоподобия, доверительные интервалы, теория оценок, статистический вывод, байесовские модели, построение моделей, выбор модели, критерии оценки, практическое применение.
</x:v>
      </x:c>
      <x:c r="H8" s="190" t="str">
        <x:v>Б</x:v>
      </x:c>
    </x:row>
    <x:row r="9" ht="128" customHeight="1">
      <x:c r="A9" s="192" t="str">
        <x:v>MF-4</x:v>
      </x:c>
      <x:c r="B9" s="192" t="str">
        <x:v>Статистические основы МО</x:v>
      </x:c>
      <x:c r="C9" s="172" t="str">
        <x:v>MF-4.1. Применяет статистические методы анализа и машинного обучения для решения задач анализа данных и проведения экспериментов на данных.</x:v>
      </x:c>
      <x:c r="D9" s="172" t="str">
        <x:v>Понимает отличия статистического обучения от нестатистического, владеет классификацией методов статистического машинного обучения.</x:v>
      </x:c>
      <x:c r="E9" s="172" t="str">
        <x:v>Применяет и выбирает методы статистического МО, учитывая особенности данных и задачи, а также объясняет различия между подходами.</x:v>
      </x:c>
      <x:c r="F9" s="172" t="str">
        <x:v>Разрабатывает и адаптирует сложные статистические модели, анализирует их теоретические свойства и руководит внедрением в практические проекты</x:v>
      </x:c>
      <x:c r="G9" s="172" t="str">
        <x:v>Описательная статистика, инференциальная статистика, подготовка и очистка данных, разведочный анализ данных (EDA), выбор признаков и их инжиниринг, методы регрессии, методы классификации, методы кластеризации, снижение размерности, методы валидации моделей, метрики оценки качества моделей, основы планирования экспериментов, проверка статистических гипотез, работа с данными в Python/R, интерпретация статистических результатов.
</x:v>
      </x:c>
      <x:c r="H9" s="180" t="str">
        <x:v>С</x:v>
      </x:c>
    </x:row>
    <x:row r="10" ht="128" customHeight="1">
      <x:c r="A10" s="193" t="str">
        <x:v>MF-4</x:v>
      </x:c>
      <x:c r="B10" s="193" t="str">
        <x:v>Статистические основы МО</x:v>
      </x:c>
      <x:c r="C10" s="182" t="str">
        <x:v>MF-4.2. Способен применять статистические методы для построения предсказательных моделей, включая методы для анализа и прогнозирования временных рядов, а также моделирования нестационарных случайных процессов.</x:v>
      </x:c>
      <x:c r="D10" s="182" t="str">
        <x:v>Способен формализовывать и применять статистические методы идентификации регрессионных и классификационных моделей. Применяет и понимает основы базовых вероятностных моделей для временных рядов на основе авторегрессионных зависимостей.</x:v>
      </x:c>
      <x:c r="E10" s="182" t="str">
        <x:v>Строит модели динамических систем для многомерных временных рядов и полей.</x:v>
      </x:c>
      <x:c r="F10" s="182" t="str">
        <x:v>Применяет на практике углубленные теоретические аспекты моделирования нестационарных случайных процессов и полей.</x:v>
      </x:c>
      <x:c r="G10" s="182" t="str">
        <x:v>Анализ временных рядов, стационарные и нестационарные процессы, проверка на стационарность, разложение временных рядов, методы сглаживания, авторегрессионные модели (AR), модели скользящего среднего (MA), интегрированные модели ARIMA и SARIMA, моделирование волатильности (GARCH), векторные авторегрессионные модели (VAR), прогнозирование на основе машинного обучения, оценка качества прогнозов, моделирование случайных процессов, применение регрессионного анализа для временных рядов, основы статистического прогнозирования.</x:v>
      </x:c>
      <x:c r="H10" s="190" t="str">
        <x:v>Б</x:v>
      </x:c>
    </x:row>
    <x:row r="11" ht="128" customHeight="1">
      <x:c r="A11" s="192" t="str">
        <x:v>MF-4</x:v>
      </x:c>
      <x:c r="B11" s="192" t="str">
        <x:v>Статистические основы МО</x:v>
      </x:c>
      <x:c r="C11" s="172" t="str">
        <x:v>MF-4.3. Способен применять статистические методы для оценки качества моделей ИИ, включая метрики и критерии для регрессии, классификации и кластеризации, а также для проведения статистических тестов для сравнения моделей.</x:v>
      </x:c>
      <x:c r="D11" s="172" t="str">
        <x:v>Оценивает качество моделей МО. Знает метрики и меры качества моделей регрессии (в том числе на временных рядах), классификации, кластеризации.</x:v>
      </x:c>
      <x:c r="E11" s="172" t="str">
        <x:v>Оценивает статистические различия моделей и алгоритмов, обучаемых на данных. Знает и применяет модифицированные статистические критерии, A/B тестирование. Применяет оценивание на основе модифицированных доверительных интервалов, использует Байесовские тесты.</x:v>
      </x:c>
      <x:c r="F11" s="172" t="str">
        <x:v>Разрабатывает и применяет продвинутые статистические методы, включая модифицированные критерии, байесовские тесты и A/B тестирование, для оценки и сравнения моделей и алгоритмов.</x:v>
      </x:c>
      <x:c r="G11" s="172" t="str">
        <x:v>Оценка качества моделей, метрики для классификации (точность, достоверность, отклик, F1-мера, ROC-AUC), матрица ошибок, метрики для регрессии (MSE, RMSE, MAE, R2), метрики для кластеризации (индекс силуэта), методы валидации моделей (перекрёстная валидация), оверфиттинг и андерфиттинг, статистические тесты для сравнения моделей (t-тест, критерий Макнемара), бутстрап-тестирование, проверка статистических гипотез, критерии выбора модели (критерий Акаике, байесовский информационный критерий), статистическая значимость, анализ результатов экспериментов, выбор метрик для конкретной задачи, кривые PR и ROC.</x:v>
      </x:c>
      <x:c r="H11" s="180" t="str">
        <x:v>С</x:v>
      </x:c>
    </x:row>
  </x:sheetData>
  <x:mergeCells>
    <x:mergeCell ref="A1:H1"/>
    <x:mergeCell ref="A2:H2"/>
  </x:mergeCells>
  <x:pageMargins left="0.7" right="0.7" top="0.75" bottom="0.75" header="0.3" footer="0.3"/>
</x:worksheet>
</file>