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e7004fb27149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Главный раздел РПД" sheetId="1" r:id="R5a73360596554f0b"/>
    <x:sheet xmlns:r="http://schemas.openxmlformats.org/officeDocument/2006/relationships" name="Паспорт РПД" sheetId="2" r:id="R2f888af545494729"/>
    <x:sheet xmlns:r="http://schemas.openxmlformats.org/officeDocument/2006/relationships" name="Пререквизиты и связи" sheetId="3" r:id="Rf96142af2e254dc4"/>
    <x:sheet xmlns:r="http://schemas.openxmlformats.org/officeDocument/2006/relationships" name="Система оценивания" sheetId="4" r:id="R6a39331d13554fad"/>
    <x:sheet xmlns:r="http://schemas.openxmlformats.org/officeDocument/2006/relationships" name="Справочник КРМ" sheetId="5" r:id="R6b5af4b6237d49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5">
    <x:font>
      <x:sz val="11"/>
      <x:name val="Carlito"/>
    </x:font>
    <x:font>
      <x:b/>
      <x:sz val="16"/>
      <x:color rgb="FFFFFFFF"/>
      <x:name val="Carlito"/>
    </x:font>
    <x:font>
      <x:b/>
      <x:sz val="12"/>
      <x:color rgb="FF1F4E78"/>
      <x:name val="Carlito"/>
    </x:font>
    <x:font>
      <x:i/>
      <x:sz val="10"/>
      <x:color rgb="FF1F1F1F"/>
      <x:name val="Carlito"/>
    </x:font>
    <x:font>
      <x:sz val="10"/>
      <x:color rgb="FF666666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color rgb="FFFFFFFF"/>
      <x:name val="Carlito"/>
    </x:font>
    <x:font>
      <x:sz val="10"/>
      <x:color rgb="FF1F1F1F"/>
      <x:name val="Carlito"/>
    </x:font>
    <x:font>
      <x:b/>
      <x:sz val="10"/>
      <x:color rgb="FF1F1F1F"/>
      <x:name val="Carlito"/>
    </x:font>
    <x:font>
      <x:b/>
      <x:sz val="10"/>
      <x:color rgb="FF1F4E78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2"/>
      <x:color rgb="FF1F4E78"/>
      <x:name val="Aptos"/>
    </x:font>
    <x:font>
      <x:b/>
      <x:sz val="10"/>
      <x:color rgb="FF1F4E78"/>
      <x:name val="Aptos"/>
    </x:font>
    <x:font>
      <x:b/>
      <x:sz val="10"/>
      <x:color rgb="FF1F1F1F"/>
      <x:name val="Aptos"/>
    </x:font>
    <x:font>
      <x:i/>
      <x:sz val="10"/>
      <x:color rgb="FF1F1F1F"/>
      <x:name val="Aptos"/>
    </x:font>
    <x:font>
      <x:sz val="10"/>
      <x:color rgb="FF666666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10"/>
      <x:color rgb="FFFFFFFF"/>
      <x:name val="Aptos"/>
    </x:font>
    <x:font>
      <x:sz val="10"/>
      <x:color rgb="FF1F1F1F"/>
      <x:name val="Aptos"/>
    </x:font>
    <x:font>
      <x:b/>
      <x:sz val="14"/>
      <x:color rgb="FF1F4E78"/>
      <x:name val="Carlito"/>
    </x:font>
    <x:font>
      <x:b/>
      <x:sz val="12"/>
      <x:color rgb="FFFFFFFF"/>
      <x:name val="Carlito"/>
    </x:font>
    <x:font>
      <x:sz val="11"/>
      <x:color rgb="FF1F1F1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4F8FC"/>
      </x:patternFill>
    </x:fill>
    <x:fill>
      <x:patternFill patternType="solid">
        <x:fgColor rgb="FF5B9BD5"/>
      </x:patternFill>
    </x:fill>
    <x:fill>
      <x:patternFill patternType="solid">
        <x:fgColor rgb="FF4472C4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</x:fills>
  <x:borders count="32">
    <x:border/>
    <x:border/>
    <x:border>
      <x:left style="thin">
        <x:color rgb="FF8EA9C1"/>
      </x:left>
      <x:top style="thin">
        <x:color rgb="FF8EA9C1"/>
      </x:top>
      <x:bottom style="thin">
        <x:color rgb="FF8EA9C1"/>
      </x:bottom>
    </x:border>
    <x:border>
      <x:top style="thin">
        <x:color rgb="FF8EA9C1"/>
      </x:top>
      <x:bottom style="thin">
        <x:color rgb="FF8EA9C1"/>
      </x:bottom>
    </x:border>
    <x:border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8EA9C1"/>
      </x:left>
      <x:top style="thin">
        <x:color rgb="FF8EA9C1"/>
      </x:top>
      <x:bottom style="thin">
        <x:color rgb="FF8EA9C1"/>
      </x:bottom>
    </x:border>
    <x:border>
      <x:top style="thin">
        <x:color rgb="FF8EA9C1"/>
      </x:top>
      <x:bottom style="thin">
        <x:color rgb="FF8EA9C1"/>
      </x:bottom>
    </x:border>
    <x:border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</x:border>
    <x:border>
      <x:left style="thin">
        <x:color rgb="FF8EA9C1"/>
      </x:left>
      <x:right style="thin">
        <x:color rgb="FF8EA9C1"/>
      </x:right>
    </x:border>
    <x:border>
      <x:left style="thin">
        <x:color rgb="FF8EA9C1"/>
      </x:left>
      <x:right style="thin">
        <x:color rgb="FF8EA9C1"/>
      </x:right>
      <x:bottom style="thin">
        <x:color rgb="FF8EA9C1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</x:border>
    <x:border>
      <x:left style="thin">
        <x:color rgb="FF8EA9C1"/>
      </x:left>
      <x:right style="thin">
        <x:color rgb="FF8EA9C1"/>
      </x:right>
    </x:border>
    <x:border>
      <x:left style="thin">
        <x:color rgb="FF8EA9C1"/>
      </x:left>
      <x:right style="thin">
        <x:color rgb="FF8EA9C1"/>
      </x:right>
      <x:bottom style="thin">
        <x:color rgb="FF8EA9C1"/>
      </x:bottom>
    </x:border>
    <x:border>
      <x:left style="thin">
        <x:color rgb="FF8EA9C1"/>
      </x:left>
      <x:top style="thin">
        <x:color rgb="FF8EA9C1"/>
      </x:top>
    </x:border>
    <x:border>
      <x:right style="thin">
        <x:color rgb="FF8EA9C1"/>
      </x:right>
      <x:top style="thin">
        <x:color rgb="FF8EA9C1"/>
      </x:top>
    </x:border>
    <x:border>
      <x:left style="thin">
        <x:color rgb="FF8EA9C1"/>
      </x:left>
      <x:bottom style="thin">
        <x:color rgb="FF8EA9C1"/>
      </x:bottom>
    </x:border>
    <x:border>
      <x:right style="thin">
        <x:color rgb="FF8EA9C1"/>
      </x:right>
      <x:bottom style="thin">
        <x:color rgb="FF8EA9C1"/>
      </x:bottom>
    </x:border>
    <x:border>
      <x:left style="thin">
        <x:color rgb="FF8EA9C1"/>
      </x:left>
      <x:top style="thin">
        <x:color rgb="FF8EA9C1"/>
      </x:top>
    </x:border>
    <x:border>
      <x:right style="thin">
        <x:color rgb="FF8EA9C1"/>
      </x:right>
      <x:top style="thin">
        <x:color rgb="FF8EA9C1"/>
      </x:top>
    </x:border>
    <x:border>
      <x:left style="thin">
        <x:color rgb="FF8EA9C1"/>
      </x:left>
      <x:bottom style="thin">
        <x:color rgb="FF8EA9C1"/>
      </x:bottom>
    </x:border>
    <x:border>
      <x:right style="thin">
        <x:color rgb="FF8EA9C1"/>
      </x:right>
      <x:bottom style="thin">
        <x:color rgb="FF8EA9C1"/>
      </x:bottom>
    </x:border>
    <x:border>
      <x:top style="thin">
        <x:color rgb="FF8EA9C1"/>
      </x:top>
    </x:border>
    <x:border>
      <x:left style="thin">
        <x:color rgb="FF8EA9C1"/>
      </x:left>
    </x:border>
    <x:border>
      <x:right style="thin">
        <x:color rgb="FF8EA9C1"/>
      </x:right>
    </x:border>
    <x:border>
      <x:bottom style="thin">
        <x:color rgb="FF8EA9C1"/>
      </x:bottom>
    </x:border>
    <x:border>
      <x:top style="thin">
        <x:color rgb="FF8EA9C1"/>
      </x:top>
    </x:border>
    <x:border>
      <x:left style="thin">
        <x:color rgb="FF8EA9C1"/>
      </x:left>
    </x:border>
    <x:border>
      <x:right style="thin">
        <x:color rgb="FF8EA9C1"/>
      </x:right>
    </x:border>
    <x:border>
      <x:bottom style="thin">
        <x:color rgb="FF8EA9C1"/>
      </x:bottom>
    </x:border>
  </x:borders>
  <x:cellStyleXfs count="1">
    <x:xf numFmtId="0" fontId="0" fillId="0" borderId="0"/>
  </x:cellStyleXfs>
  <x:cellXfs count="6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left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left" wrapText="1"/>
    </x:xf>
    <x:xf numFmtId="0" fontId="4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left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4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4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5" xfId="0" applyNumberFormat="1" applyFont="1" applyFill="1" applyBorder="1"/>
    <x:xf numFmtId="0" fontId="5" fillId="2" borderId="6" xfId="0" applyNumberFormat="1" applyFont="1" applyFill="1" applyBorder="1"/>
    <x:xf numFmtId="0" fontId="5" fillId="2" borderId="7" xfId="0" applyNumberFormat="1" applyFont="1" applyFill="1" applyBorder="1"/>
    <x:xf numFmtId="0" fontId="5" fillId="2" borderId="5" xfId="0" applyNumberFormat="1" applyFont="1" applyFill="1" applyBorder="1" applyAlignment="1">
      <x:alignment wrapText="1"/>
    </x:xf>
    <x:xf numFmtId="0" fontId="5" fillId="2" borderId="6" xfId="0" applyNumberFormat="1" applyFont="1" applyFill="1" applyBorder="1" applyAlignment="1">
      <x:alignment wrapText="1"/>
    </x:xf>
    <x:xf numFmtId="0" fontId="5" fillId="2" borderId="7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horizontal="center" wrapText="1"/>
    </x:xf>
    <x:xf numFmtId="0" fontId="5" fillId="2" borderId="6" xfId="0" applyNumberFormat="1" applyFont="1" applyFill="1" applyBorder="1" applyAlignment="1">
      <x:alignment horizontal="center" wrapText="1"/>
    </x:xf>
    <x:xf numFmtId="0" fontId="5" fillId="2" borderId="7" xfId="0" applyNumberFormat="1" applyFont="1" applyFill="1" applyBorder="1" applyAlignment="1">
      <x:alignment horizont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5" fillId="2" borderId="6" xfId="0" applyNumberFormat="1" applyFont="1" applyFill="1" applyBorder="1" applyAlignment="1">
      <x:alignment horizontal="center" vertical="center" wrapText="1"/>
    </x:xf>
    <x:xf numFmtId="0" fontId="5" fillId="2" borderId="7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center" wrapText="1"/>
    </x:xf>
    <x:xf numFmtId="0" fontId="6" fillId="5" borderId="4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6" xfId="0" applyNumberFormat="1" applyFont="1" applyFill="1" applyBorder="1" applyAlignment="1">
      <x:alignment vertical="center" wrapText="1"/>
    </x:xf>
    <x:xf numFmtId="0" fontId="6" fillId="5" borderId="7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0" fontId="6" fillId="5" borderId="6" xfId="0" applyNumberFormat="1" applyFont="1" applyFill="1" applyBorder="1" applyAlignment="1">
      <x:alignment horizontal="center" vertical="center" wrapText="1"/>
    </x:xf>
    <x:xf numFmtId="0" fontId="6" fillId="5" borderId="7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8" xfId="0" applyNumberFormat="1" applyFont="1" applyFill="1" applyBorder="1"/>
    <x:xf numFmtId="0" fontId="7" fillId="6" borderId="8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9" xfId="0" applyNumberFormat="1" applyFont="1" applyFill="1" applyBorder="1"/>
    <x:xf numFmtId="0" fontId="7" fillId="6" borderId="9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2" xfId="0" applyNumberFormat="1" applyFont="1" applyFill="1" applyBorder="1"/>
    <x:xf numFmtId="0" fontId="8" fillId="7" borderId="3" xfId="0" applyNumberFormat="1" applyFont="1" applyFill="1" applyBorder="1"/>
    <x:xf numFmtId="0" fontId="8" fillId="7" borderId="4" xfId="0" applyNumberFormat="1" applyFont="1" applyFill="1" applyBorder="1"/>
    <x:xf numFmtId="0" fontId="8" fillId="7" borderId="2" xfId="0" applyNumberFormat="1" applyFont="1" applyFill="1" applyBorder="1" applyAlignment="1">
      <x:alignment wrapText="1"/>
    </x:xf>
    <x:xf numFmtId="0" fontId="8" fillId="7" borderId="3" xfId="0" applyNumberFormat="1" applyFont="1" applyFill="1" applyBorder="1" applyAlignment="1">
      <x:alignment wrapText="1"/>
    </x:xf>
    <x:xf numFmtId="0" fontId="8" fillId="7" borderId="4" xfId="0" applyNumberFormat="1" applyFont="1" applyFill="1" applyBorder="1" applyAlignment="1">
      <x:alignment wrapText="1"/>
    </x:xf>
    <x:xf numFmtId="0" fontId="8" fillId="7" borderId="2" xfId="0" applyNumberFormat="1" applyFont="1" applyFill="1" applyBorder="1" applyAlignment="1">
      <x:alignment vertical="top" wrapText="1"/>
    </x:xf>
    <x:xf numFmtId="0" fontId="8" fillId="7" borderId="3" xfId="0" applyNumberFormat="1" applyFont="1" applyFill="1" applyBorder="1" applyAlignment="1">
      <x:alignment vertical="top" wrapText="1"/>
    </x:xf>
    <x:xf numFmtId="0" fontId="8" fillId="7" borderId="4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5" xfId="0" applyNumberFormat="1" applyFont="1" applyFill="1" applyBorder="1"/>
    <x:xf numFmtId="0" fontId="8" fillId="7" borderId="6" xfId="0" applyNumberFormat="1" applyFont="1" applyFill="1" applyBorder="1"/>
    <x:xf numFmtId="0" fontId="8" fillId="7" borderId="7" xfId="0" applyNumberFormat="1" applyFont="1" applyFill="1" applyBorder="1"/>
    <x:xf numFmtId="0" fontId="8" fillId="7" borderId="5" xfId="0" applyNumberFormat="1" applyFont="1" applyFill="1" applyBorder="1" applyAlignment="1">
      <x:alignment wrapText="1"/>
    </x:xf>
    <x:xf numFmtId="0" fontId="8" fillId="7" borderId="6" xfId="0" applyNumberFormat="1" applyFont="1" applyFill="1" applyBorder="1" applyAlignment="1">
      <x:alignment wrapText="1"/>
    </x:xf>
    <x:xf numFmtId="0" fontId="8" fillId="7" borderId="7" xfId="0" applyNumberFormat="1" applyFont="1" applyFill="1" applyBorder="1" applyAlignment="1">
      <x:alignment wrapText="1"/>
    </x:xf>
    <x:xf numFmtId="0" fontId="8" fillId="7" borderId="5" xfId="0" applyNumberFormat="1" applyFont="1" applyFill="1" applyBorder="1" applyAlignment="1">
      <x:alignment vertical="top" wrapText="1"/>
    </x:xf>
    <x:xf numFmtId="0" fontId="8" fillId="7" borderId="6" xfId="0" applyNumberFormat="1" applyFont="1" applyFill="1" applyBorder="1" applyAlignment="1">
      <x:alignment vertical="top" wrapText="1"/>
    </x:xf>
    <x:xf numFmtId="0" fontId="8" fillId="7" borderId="7" xfId="0" applyNumberFormat="1" applyFont="1" applyFill="1" applyBorder="1" applyAlignment="1">
      <x:alignment vertical="top" wrapText="1"/>
    </x:xf>
    <x:xf numFmtId="0" fontId="8" fillId="7" borderId="3" xfId="0" applyNumberFormat="1" applyFont="1" applyFill="1" applyBorder="1" applyAlignment="1">
      <x:alignment horizontal="center" vertical="top" wrapText="1"/>
    </x:xf>
    <x:xf numFmtId="0" fontId="8" fillId="7" borderId="4" xfId="0" applyNumberFormat="1" applyFont="1" applyFill="1" applyBorder="1" applyAlignment="1">
      <x:alignment horizontal="center" vertical="top" wrapText="1"/>
    </x:xf>
    <x:xf numFmtId="0" fontId="8" fillId="7" borderId="6" xfId="0" applyNumberFormat="1" applyFont="1" applyFill="1" applyBorder="1" applyAlignment="1">
      <x:alignment horizontal="center" vertical="top" wrapText="1"/>
    </x:xf>
    <x:xf numFmtId="0" fontId="8" fillId="7" borderId="7" xfId="0" applyNumberFormat="1" applyFont="1" applyFill="1" applyBorder="1" applyAlignment="1">
      <x:alignment horizontal="center" vertical="top" wrapText="1"/>
    </x:xf>
    <x:xf numFmtId="0" fontId="8" fillId="7" borderId="3" xfId="0" applyNumberFormat="1" applyFont="1" applyFill="1" applyBorder="1" applyAlignment="1">
      <x:alignment horizontal="center" vertical="center" wrapText="1"/>
    </x:xf>
    <x:xf numFmtId="0" fontId="8" fillId="7" borderId="4" xfId="0" applyNumberFormat="1" applyFont="1" applyFill="1" applyBorder="1" applyAlignment="1">
      <x:alignment horizontal="center" vertical="center" wrapText="1"/>
    </x:xf>
    <x:xf numFmtId="0" fontId="8" fillId="7" borderId="6" xfId="0" applyNumberFormat="1" applyFont="1" applyFill="1" applyBorder="1" applyAlignment="1">
      <x:alignment horizontal="center" vertical="center" wrapText="1"/>
    </x:xf>
    <x:xf numFmtId="0" fontId="8" fillId="7" borderId="7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/>
    <x:xf numFmtId="0" fontId="8" fillId="4" borderId="2" xfId="0" applyNumberFormat="1" applyFont="1" applyFill="1" applyBorder="1"/>
    <x:xf numFmtId="0" fontId="8" fillId="4" borderId="3" xfId="0" applyNumberFormat="1" applyFont="1" applyFill="1" applyBorder="1"/>
    <x:xf numFmtId="0" fontId="8" fillId="4" borderId="4" xfId="0" applyNumberFormat="1" applyFont="1" applyFill="1" applyBorder="1"/>
    <x:xf numFmtId="0" fontId="8" fillId="4" borderId="2" xfId="0" applyNumberFormat="1" applyFont="1" applyFill="1" applyBorder="1" applyAlignment="1">
      <x:alignment wrapText="1"/>
    </x:xf>
    <x:xf numFmtId="0" fontId="8" fillId="4" borderId="3" xfId="0" applyNumberFormat="1" applyFont="1" applyFill="1" applyBorder="1" applyAlignment="1">
      <x:alignment wrapText="1"/>
    </x:xf>
    <x:xf numFmtId="0" fontId="8" fillId="4" borderId="4" xfId="0" applyNumberFormat="1" applyFont="1" applyFill="1" applyBorder="1" applyAlignment="1">
      <x:alignment wrapText="1"/>
    </x:xf>
    <x:xf numFmtId="0" fontId="8" fillId="4" borderId="2" xfId="0" applyNumberFormat="1" applyFont="1" applyFill="1" applyBorder="1" applyAlignment="1">
      <x:alignment vertical="top" wrapText="1"/>
    </x:xf>
    <x:xf numFmtId="0" fontId="8" fillId="4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/>
    <x:xf numFmtId="0" fontId="8" fillId="4" borderId="5" xfId="0" applyNumberFormat="1" applyFont="1" applyFill="1" applyBorder="1"/>
    <x:xf numFmtId="0" fontId="8" fillId="4" borderId="6" xfId="0" applyNumberFormat="1" applyFont="1" applyFill="1" applyBorder="1"/>
    <x:xf numFmtId="0" fontId="8" fillId="4" borderId="7" xfId="0" applyNumberFormat="1" applyFont="1" applyFill="1" applyBorder="1"/>
    <x:xf numFmtId="0" fontId="8" fillId="4" borderId="5" xfId="0" applyNumberFormat="1" applyFont="1" applyFill="1" applyBorder="1" applyAlignment="1">
      <x:alignment wrapText="1"/>
    </x:xf>
    <x:xf numFmtId="0" fontId="8" fillId="4" borderId="6" xfId="0" applyNumberFormat="1" applyFont="1" applyFill="1" applyBorder="1" applyAlignment="1">
      <x:alignment wrapText="1"/>
    </x:xf>
    <x:xf numFmtId="0" fontId="8" fillId="4" borderId="7" xfId="0" applyNumberFormat="1" applyFont="1" applyFill="1" applyBorder="1" applyAlignment="1">
      <x:alignment wrapText="1"/>
    </x:xf>
    <x:xf numFmtId="0" fontId="8" fillId="4" borderId="5" xfId="0" applyNumberFormat="1" applyFont="1" applyFill="1" applyBorder="1" applyAlignment="1">
      <x:alignment vertical="top" wrapText="1"/>
    </x:xf>
    <x:xf numFmtId="0" fontId="8" fillId="4" borderId="6" xfId="0" applyNumberFormat="1" applyFont="1" applyFill="1" applyBorder="1" applyAlignment="1">
      <x:alignment vertical="top" wrapText="1"/>
    </x:xf>
    <x:xf numFmtId="0" fontId="8" fillId="4" borderId="7" xfId="0" applyNumberFormat="1" applyFont="1" applyFill="1" applyBorder="1" applyAlignment="1">
      <x:alignment vertical="top" wrapText="1"/>
    </x:xf>
    <x:xf numFmtId="0" fontId="8" fillId="4" borderId="3" xfId="0" applyNumberFormat="1" applyFont="1" applyFill="1" applyBorder="1" applyAlignment="1">
      <x:alignment horizontal="center" vertical="top" wrapText="1"/>
    </x:xf>
    <x:xf numFmtId="0" fontId="8" fillId="4" borderId="4" xfId="0" applyNumberFormat="1" applyFont="1" applyFill="1" applyBorder="1" applyAlignment="1">
      <x:alignment horizontal="center" vertical="top" wrapText="1"/>
    </x:xf>
    <x:xf numFmtId="0" fontId="8" fillId="4" borderId="6" xfId="0" applyNumberFormat="1" applyFont="1" applyFill="1" applyBorder="1" applyAlignment="1">
      <x:alignment horizontal="center" vertical="top" wrapText="1"/>
    </x:xf>
    <x:xf numFmtId="0" fontId="8" fillId="4" borderId="7" xfId="0" applyNumberFormat="1" applyFont="1" applyFill="1" applyBorder="1" applyAlignment="1">
      <x:alignment horizontal="center" vertical="top" wrapText="1"/>
    </x:xf>
    <x:xf numFmtId="0" fontId="8" fillId="4" borderId="3" xfId="0" applyNumberFormat="1" applyFont="1" applyFill="1" applyBorder="1" applyAlignment="1">
      <x:alignment horizontal="center" vertical="center" wrapText="1"/>
    </x:xf>
    <x:xf numFmtId="0" fontId="8" fillId="4" borderId="4" xfId="0" applyNumberFormat="1" applyFont="1" applyFill="1" applyBorder="1" applyAlignment="1">
      <x:alignment horizontal="center" vertical="center" wrapText="1"/>
    </x:xf>
    <x:xf numFmtId="0" fontId="8" fillId="4" borderId="6" xfId="0" applyNumberFormat="1" applyFont="1" applyFill="1" applyBorder="1" applyAlignment="1">
      <x:alignment horizontal="center" vertical="center" wrapText="1"/>
    </x:xf>
    <x:xf numFmtId="0" fontId="8" fillId="4" borderId="7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2" xfId="0" applyNumberFormat="1" applyFont="1" applyFill="1" applyBorder="1"/>
    <x:xf numFmtId="0" fontId="9" fillId="8" borderId="3" xfId="0" applyNumberFormat="1" applyFont="1" applyFill="1" applyBorder="1"/>
    <x:xf numFmtId="0" fontId="9" fillId="8" borderId="4" xfId="0" applyNumberFormat="1" applyFont="1" applyFill="1" applyBorder="1"/>
    <x:xf numFmtId="0" fontId="9" fillId="8" borderId="2" xfId="0" applyNumberFormat="1" applyFont="1" applyFill="1" applyBorder="1" applyAlignment="1">
      <x:alignment wrapText="1"/>
    </x:xf>
    <x:xf numFmtId="0" fontId="9" fillId="8" borderId="3" xfId="0" applyNumberFormat="1" applyFont="1" applyFill="1" applyBorder="1" applyAlignment="1">
      <x:alignment wrapText="1"/>
    </x:xf>
    <x:xf numFmtId="0" fontId="9" fillId="8" borderId="4" xfId="0" applyNumberFormat="1" applyFont="1" applyFill="1" applyBorder="1" applyAlignment="1">
      <x:alignment wrapText="1"/>
    </x:xf>
    <x:xf numFmtId="0" fontId="9" fillId="8" borderId="2" xfId="0" applyNumberFormat="1" applyFont="1" applyFill="1" applyBorder="1" applyAlignment="1">
      <x:alignment vertical="center" wrapText="1"/>
    </x:xf>
    <x:xf numFmtId="0" fontId="9" fillId="8" borderId="3" xfId="0" applyNumberFormat="1" applyFont="1" applyFill="1" applyBorder="1" applyAlignment="1">
      <x:alignment vertical="center" wrapText="1"/>
    </x:xf>
    <x:xf numFmtId="0" fontId="9" fillId="8" borderId="4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9" fillId="8" borderId="1" xfId="0" applyNumberFormat="1" applyFont="1" applyFill="1" applyBorder="1"/>
    <x:xf numFmtId="0" fontId="9" fillId="8" borderId="5" xfId="0" applyNumberFormat="1" applyFont="1" applyFill="1" applyBorder="1"/>
    <x:xf numFmtId="0" fontId="9" fillId="8" borderId="6" xfId="0" applyNumberFormat="1" applyFont="1" applyFill="1" applyBorder="1"/>
    <x:xf numFmtId="0" fontId="9" fillId="8" borderId="7" xfId="0" applyNumberFormat="1" applyFont="1" applyFill="1" applyBorder="1"/>
    <x:xf numFmtId="0" fontId="9" fillId="8" borderId="5" xfId="0" applyNumberFormat="1" applyFont="1" applyFill="1" applyBorder="1" applyAlignment="1">
      <x:alignment wrapText="1"/>
    </x:xf>
    <x:xf numFmtId="0" fontId="9" fillId="8" borderId="6" xfId="0" applyNumberFormat="1" applyFont="1" applyFill="1" applyBorder="1" applyAlignment="1">
      <x:alignment wrapText="1"/>
    </x:xf>
    <x:xf numFmtId="0" fontId="9" fillId="8" borderId="7" xfId="0" applyNumberFormat="1" applyFont="1" applyFill="1" applyBorder="1" applyAlignment="1">
      <x:alignment wrapText="1"/>
    </x:xf>
    <x:xf numFmtId="0" fontId="9" fillId="8" borderId="5" xfId="0" applyNumberFormat="1" applyFont="1" applyFill="1" applyBorder="1" applyAlignment="1">
      <x:alignment vertical="center" wrapText="1"/>
    </x:xf>
    <x:xf numFmtId="0" fontId="9" fillId="8" borderId="6" xfId="0" applyNumberFormat="1" applyFont="1" applyFill="1" applyBorder="1" applyAlignment="1">
      <x:alignment vertical="center" wrapText="1"/>
    </x:xf>
    <x:xf numFmtId="0" fontId="9" fillId="8" borderId="7" xfId="0" applyNumberFormat="1" applyFont="1" applyFill="1" applyBorder="1" applyAlignment="1">
      <x:alignment vertical="center" wrapText="1"/>
    </x:xf>
    <x:xf numFmtId="0" fontId="9" fillId="8" borderId="3" xfId="0" applyNumberFormat="1" applyFont="1" applyFill="1" applyBorder="1" applyAlignment="1">
      <x:alignment horizontal="center" vertical="center" wrapText="1"/>
    </x:xf>
    <x:xf numFmtId="0" fontId="9" fillId="8" borderId="4" xfId="0" applyNumberFormat="1" applyFont="1" applyFill="1" applyBorder="1" applyAlignment="1">
      <x:alignment horizontal="center" vertical="center" wrapText="1"/>
    </x:xf>
    <x:xf numFmtId="0" fontId="9" fillId="8" borderId="6" xfId="0" applyNumberFormat="1" applyFont="1" applyFill="1" applyBorder="1" applyAlignment="1">
      <x:alignment horizontal="center" vertical="center" wrapText="1"/>
    </x:xf>
    <x:xf numFmtId="0" fontId="9" fillId="8" borderId="7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2" xfId="0" applyNumberFormat="1" applyFont="1" applyFill="1" applyBorder="1"/>
    <x:xf numFmtId="0" fontId="6" fillId="2" borderId="3" xfId="0" applyNumberFormat="1" applyFont="1" applyFill="1" applyBorder="1"/>
    <x:xf numFmtId="0" fontId="6" fillId="2" borderId="4" xfId="0" applyNumberFormat="1" applyFont="1" applyFill="1" applyBorder="1"/>
    <x:xf numFmtId="0" fontId="6" fillId="2" borderId="2" xfId="0" applyNumberFormat="1" applyFont="1" applyFill="1" applyBorder="1" applyAlignment="1">
      <x:alignment wrapText="1"/>
    </x:xf>
    <x:xf numFmtId="0" fontId="6" fillId="2" borderId="3" xfId="0" applyNumberFormat="1" applyFont="1" applyFill="1" applyBorder="1" applyAlignment="1">
      <x:alignment wrapText="1"/>
    </x:xf>
    <x:xf numFmtId="0" fontId="6" fillId="2" borderId="4" xfId="0" applyNumberFormat="1" applyFont="1" applyFill="1" applyBorder="1" applyAlignment="1">
      <x:alignment wrapText="1"/>
    </x:xf>
    <x:xf numFmtId="0" fontId="6" fillId="2" borderId="2" xfId="0" applyNumberFormat="1" applyFont="1" applyFill="1" applyBorder="1" applyAlignment="1">
      <x:alignment vertical="center" wrapText="1"/>
    </x:xf>
    <x:xf numFmtId="0" fontId="6" fillId="2" borderId="3" xfId="0" applyNumberFormat="1" applyFont="1" applyFill="1" applyBorder="1" applyAlignment="1">
      <x:alignment vertical="center" wrapText="1"/>
    </x:xf>
    <x:xf numFmtId="0" fontId="6" fillId="2" borderId="4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/>
    <x:xf numFmtId="0" fontId="6" fillId="2" borderId="5" xfId="0" applyNumberFormat="1" applyFont="1" applyFill="1" applyBorder="1"/>
    <x:xf numFmtId="0" fontId="6" fillId="2" borderId="6" xfId="0" applyNumberFormat="1" applyFont="1" applyFill="1" applyBorder="1"/>
    <x:xf numFmtId="0" fontId="6" fillId="2" borderId="7" xfId="0" applyNumberFormat="1" applyFont="1" applyFill="1" applyBorder="1"/>
    <x:xf numFmtId="0" fontId="6" fillId="2" borderId="5" xfId="0" applyNumberFormat="1" applyFont="1" applyFill="1" applyBorder="1" applyAlignment="1">
      <x:alignment wrapText="1"/>
    </x:xf>
    <x:xf numFmtId="0" fontId="6" fillId="2" borderId="6" xfId="0" applyNumberFormat="1" applyFont="1" applyFill="1" applyBorder="1" applyAlignment="1">
      <x:alignment wrapText="1"/>
    </x:xf>
    <x:xf numFmtId="0" fontId="6" fillId="2" borderId="7" xfId="0" applyNumberFormat="1" applyFont="1" applyFill="1" applyBorder="1" applyAlignment="1">
      <x:alignment wrapText="1"/>
    </x:xf>
    <x:xf numFmtId="0" fontId="6" fillId="2" borderId="5" xfId="0" applyNumberFormat="1" applyFont="1" applyFill="1" applyBorder="1" applyAlignment="1">
      <x:alignment vertical="center" wrapText="1"/>
    </x:xf>
    <x:xf numFmtId="0" fontId="6" fillId="2" borderId="6" xfId="0" applyNumberFormat="1" applyFont="1" applyFill="1" applyBorder="1" applyAlignment="1">
      <x:alignment vertical="center" wrapText="1"/>
    </x:xf>
    <x:xf numFmtId="0" fontId="6" fillId="2" borderId="7" xfId="0" applyNumberFormat="1" applyFont="1" applyFill="1" applyBorder="1" applyAlignment="1">
      <x:alignment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6" fillId="2" borderId="4" xfId="0" applyNumberFormat="1" applyFont="1" applyFill="1" applyBorder="1" applyAlignment="1">
      <x:alignment horizontal="center" vertical="center" wrapText="1"/>
    </x:xf>
    <x:xf numFmtId="0" fontId="6" fillId="2" borderId="6" xfId="0" applyNumberFormat="1" applyFont="1" applyFill="1" applyBorder="1" applyAlignment="1">
      <x:alignment horizontal="center" vertical="center" wrapText="1"/>
    </x:xf>
    <x:xf numFmtId="0" fontId="6" fillId="2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2" xfId="0" applyNumberFormat="1" applyFont="1" applyFill="1" applyBorder="1"/>
    <x:xf numFmtId="0" fontId="9" fillId="9" borderId="3" xfId="0" applyNumberFormat="1" applyFont="1" applyFill="1" applyBorder="1"/>
    <x:xf numFmtId="0" fontId="9" fillId="9" borderId="4" xfId="0" applyNumberFormat="1" applyFont="1" applyFill="1" applyBorder="1"/>
    <x:xf numFmtId="0" fontId="9" fillId="9" borderId="2" xfId="0" applyNumberFormat="1" applyFont="1" applyFill="1" applyBorder="1" applyAlignment="1">
      <x:alignment wrapText="1"/>
    </x:xf>
    <x:xf numFmtId="0" fontId="9" fillId="9" borderId="3" xfId="0" applyNumberFormat="1" applyFont="1" applyFill="1" applyBorder="1" applyAlignment="1">
      <x:alignment wrapText="1"/>
    </x:xf>
    <x:xf numFmtId="0" fontId="9" fillId="9" borderId="4" xfId="0" applyNumberFormat="1" applyFont="1" applyFill="1" applyBorder="1" applyAlignment="1">
      <x:alignment wrapText="1"/>
    </x:xf>
    <x:xf numFmtId="0" fontId="9" fillId="9" borderId="2" xfId="0" applyNumberFormat="1" applyFont="1" applyFill="1" applyBorder="1" applyAlignment="1">
      <x:alignment vertical="center" wrapText="1"/>
    </x:xf>
    <x:xf numFmtId="0" fontId="9" fillId="9" borderId="3" xfId="0" applyNumberFormat="1" applyFont="1" applyFill="1" applyBorder="1" applyAlignment="1">
      <x:alignment vertical="center" wrapText="1"/>
    </x:xf>
    <x:xf numFmtId="0" fontId="9" fillId="9" borderId="4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9" fillId="9" borderId="1" xfId="0" applyNumberFormat="1" applyFont="1" applyFill="1" applyBorder="1"/>
    <x:xf numFmtId="0" fontId="9" fillId="9" borderId="5" xfId="0" applyNumberFormat="1" applyFont="1" applyFill="1" applyBorder="1"/>
    <x:xf numFmtId="0" fontId="9" fillId="9" borderId="6" xfId="0" applyNumberFormat="1" applyFont="1" applyFill="1" applyBorder="1"/>
    <x:xf numFmtId="0" fontId="9" fillId="9" borderId="7" xfId="0" applyNumberFormat="1" applyFont="1" applyFill="1" applyBorder="1"/>
    <x:xf numFmtId="0" fontId="9" fillId="9" borderId="5" xfId="0" applyNumberFormat="1" applyFont="1" applyFill="1" applyBorder="1" applyAlignment="1">
      <x:alignment wrapText="1"/>
    </x:xf>
    <x:xf numFmtId="0" fontId="9" fillId="9" borderId="6" xfId="0" applyNumberFormat="1" applyFont="1" applyFill="1" applyBorder="1" applyAlignment="1">
      <x:alignment wrapText="1"/>
    </x:xf>
    <x:xf numFmtId="0" fontId="9" fillId="9" borderId="7" xfId="0" applyNumberFormat="1" applyFont="1" applyFill="1" applyBorder="1" applyAlignment="1">
      <x:alignment wrapText="1"/>
    </x:xf>
    <x:xf numFmtId="0" fontId="9" fillId="9" borderId="5" xfId="0" applyNumberFormat="1" applyFont="1" applyFill="1" applyBorder="1" applyAlignment="1">
      <x:alignment vertical="center" wrapText="1"/>
    </x:xf>
    <x:xf numFmtId="0" fontId="9" fillId="9" borderId="6" xfId="0" applyNumberFormat="1" applyFont="1" applyFill="1" applyBorder="1" applyAlignment="1">
      <x:alignment vertical="center" wrapText="1"/>
    </x:xf>
    <x:xf numFmtId="0" fontId="9" fillId="9" borderId="7" xfId="0" applyNumberFormat="1" applyFont="1" applyFill="1" applyBorder="1" applyAlignment="1">
      <x:alignment vertical="center" wrapText="1"/>
    </x:xf>
    <x:xf numFmtId="0" fontId="9" fillId="9" borderId="3" xfId="0" applyNumberFormat="1" applyFont="1" applyFill="1" applyBorder="1" applyAlignment="1">
      <x:alignment horizontal="center" vertical="center" wrapText="1"/>
    </x:xf>
    <x:xf numFmtId="0" fontId="9" fillId="9" borderId="4" xfId="0" applyNumberFormat="1" applyFont="1" applyFill="1" applyBorder="1" applyAlignment="1">
      <x:alignment horizontal="center" vertical="center" wrapText="1"/>
    </x:xf>
    <x:xf numFmtId="0" fontId="9" fillId="9" borderId="6" xfId="0" applyNumberFormat="1" applyFont="1" applyFill="1" applyBorder="1" applyAlignment="1">
      <x:alignment horizontal="center" vertical="center" wrapText="1"/>
    </x:xf>
    <x:xf numFmtId="0" fontId="9" fillId="9" borderId="7" xfId="0" applyNumberFormat="1" applyFont="1" applyFill="1" applyBorder="1" applyAlignment="1">
      <x:alignment horizontal="center" vertical="center" wrapText="1"/>
    </x:xf>
    <x:xf numFmtId="0" fontId="10" fillId="3" borderId="0" xfId="0" applyNumberFormat="1" applyFont="1" applyFill="1" applyBorder="1"/>
    <x:xf numFmtId="0" fontId="10" fillId="3" borderId="10" xfId="0" applyNumberFormat="1" applyFont="1" applyFill="1" applyBorder="1"/>
    <x:xf numFmtId="0" fontId="10" fillId="3" borderId="11" xfId="0" applyNumberFormat="1" applyFont="1" applyFill="1" applyBorder="1"/>
    <x:xf numFmtId="0" fontId="10" fillId="3" borderId="12" xfId="0" applyNumberFormat="1" applyFont="1" applyFill="1" applyBorder="1"/>
    <x:xf numFmtId="0" fontId="10" fillId="3" borderId="10" xfId="0" applyNumberFormat="1" applyFont="1" applyFill="1" applyBorder="1" applyAlignment="1">
      <x:alignment wrapText="1"/>
    </x:xf>
    <x:xf numFmtId="0" fontId="10" fillId="3" borderId="11" xfId="0" applyNumberFormat="1" applyFont="1" applyFill="1" applyBorder="1" applyAlignment="1">
      <x:alignment wrapText="1"/>
    </x:xf>
    <x:xf numFmtId="0" fontId="10" fillId="3" borderId="12" xfId="0" applyNumberFormat="1" applyFont="1" applyFill="1" applyBorder="1" applyAlignment="1">
      <x:alignment wrapText="1"/>
    </x:xf>
    <x:xf numFmtId="0" fontId="10" fillId="3" borderId="10" xfId="0" applyNumberFormat="1" applyFont="1" applyFill="1" applyBorder="1" applyAlignment="1">
      <x:alignment vertical="center" wrapText="1"/>
    </x:xf>
    <x:xf numFmtId="0" fontId="10" fillId="3" borderId="11" xfId="0" applyNumberFormat="1" applyFont="1" applyFill="1" applyBorder="1" applyAlignment="1">
      <x:alignment vertical="center" wrapText="1"/>
    </x:xf>
    <x:xf numFmtId="0" fontId="10" fillId="3" borderId="12" xfId="0" applyNumberFormat="1" applyFont="1" applyFill="1" applyBorder="1" applyAlignment="1">
      <x:alignment vertical="center" wrapText="1"/>
    </x:xf>
    <x:xf numFmtId="0" fontId="10" fillId="3" borderId="1" xfId="0" applyNumberFormat="1" applyFont="1" applyFill="1" applyBorder="1"/>
    <x:xf numFmtId="0" fontId="10" fillId="3" borderId="13" xfId="0" applyNumberFormat="1" applyFont="1" applyFill="1" applyBorder="1"/>
    <x:xf numFmtId="0" fontId="10" fillId="3" borderId="14" xfId="0" applyNumberFormat="1" applyFont="1" applyFill="1" applyBorder="1"/>
    <x:xf numFmtId="0" fontId="10" fillId="3" borderId="15" xfId="0" applyNumberFormat="1" applyFont="1" applyFill="1" applyBorder="1"/>
    <x:xf numFmtId="0" fontId="10" fillId="3" borderId="13" xfId="0" applyNumberFormat="1" applyFont="1" applyFill="1" applyBorder="1" applyAlignment="1">
      <x:alignment wrapText="1"/>
    </x:xf>
    <x:xf numFmtId="0" fontId="10" fillId="3" borderId="14" xfId="0" applyNumberFormat="1" applyFont="1" applyFill="1" applyBorder="1" applyAlignment="1">
      <x:alignment wrapText="1"/>
    </x:xf>
    <x:xf numFmtId="0" fontId="10" fillId="3" borderId="15" xfId="0" applyNumberFormat="1" applyFont="1" applyFill="1" applyBorder="1" applyAlignment="1">
      <x:alignment wrapText="1"/>
    </x:xf>
    <x:xf numFmtId="0" fontId="10" fillId="3" borderId="13" xfId="0" applyNumberFormat="1" applyFont="1" applyFill="1" applyBorder="1" applyAlignment="1">
      <x:alignment vertical="center" wrapText="1"/>
    </x:xf>
    <x:xf numFmtId="0" fontId="10" fillId="3" borderId="14" xfId="0" applyNumberFormat="1" applyFont="1" applyFill="1" applyBorder="1" applyAlignment="1">
      <x:alignment vertical="center" wrapText="1"/>
    </x:xf>
    <x:xf numFmtId="0" fontId="10" fillId="3" borderId="15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9" fillId="4" borderId="10" xfId="0" applyNumberFormat="1" applyFont="1" applyFill="1" applyBorder="1"/>
    <x:xf numFmtId="0" fontId="9" fillId="4" borderId="11" xfId="0" applyNumberFormat="1" applyFont="1" applyFill="1" applyBorder="1"/>
    <x:xf numFmtId="0" fontId="9" fillId="4" borderId="12" xfId="0" applyNumberFormat="1" applyFont="1" applyFill="1" applyBorder="1"/>
    <x:xf numFmtId="0" fontId="9" fillId="4" borderId="10" xfId="0" applyNumberFormat="1" applyFont="1" applyFill="1" applyBorder="1" applyAlignment="1">
      <x:alignment wrapText="1"/>
    </x:xf>
    <x:xf numFmtId="0" fontId="9" fillId="4" borderId="11" xfId="0" applyNumberFormat="1" applyFont="1" applyFill="1" applyBorder="1" applyAlignment="1">
      <x:alignment wrapText="1"/>
    </x:xf>
    <x:xf numFmtId="0" fontId="9" fillId="4" borderId="12" xfId="0" applyNumberFormat="1" applyFont="1" applyFill="1" applyBorder="1" applyAlignment="1">
      <x:alignment wrapText="1"/>
    </x:xf>
    <x:xf numFmtId="0" fontId="9" fillId="4" borderId="10" xfId="0" applyNumberFormat="1" applyFont="1" applyFill="1" applyBorder="1" applyAlignment="1">
      <x:alignment horizontal="center" wrapText="1"/>
    </x:xf>
    <x:xf numFmtId="0" fontId="9" fillId="4" borderId="11" xfId="0" applyNumberFormat="1" applyFont="1" applyFill="1" applyBorder="1" applyAlignment="1">
      <x:alignment horizontal="center" wrapText="1"/>
    </x:xf>
    <x:xf numFmtId="0" fontId="9" fillId="4" borderId="12" xfId="0" applyNumberFormat="1" applyFont="1" applyFill="1" applyBorder="1" applyAlignment="1">
      <x:alignment horizontal="center" wrapText="1"/>
    </x:xf>
    <x:xf numFmtId="0" fontId="9" fillId="4" borderId="10" xfId="0" applyNumberFormat="1" applyFont="1" applyFill="1" applyBorder="1" applyAlignment="1">
      <x:alignment horizontal="center" vertical="center" wrapText="1"/>
    </x:xf>
    <x:xf numFmtId="0" fontId="9" fillId="4" borderId="11" xfId="0" applyNumberFormat="1" applyFont="1" applyFill="1" applyBorder="1" applyAlignment="1">
      <x:alignment horizontal="center" vertical="center" wrapText="1"/>
    </x:xf>
    <x:xf numFmtId="0" fontId="9" fillId="4" borderId="12" xfId="0" applyNumberFormat="1" applyFont="1" applyFill="1" applyBorder="1" applyAlignment="1">
      <x:alignment horizontal="center" vertical="center" wrapText="1"/>
    </x:xf>
    <x:xf numFmtId="0" fontId="9" fillId="4" borderId="1" xfId="0" applyNumberFormat="1" applyFont="1" applyFill="1" applyBorder="1"/>
    <x:xf numFmtId="0" fontId="9" fillId="4" borderId="13" xfId="0" applyNumberFormat="1" applyFont="1" applyFill="1" applyBorder="1"/>
    <x:xf numFmtId="0" fontId="9" fillId="4" borderId="14" xfId="0" applyNumberFormat="1" applyFont="1" applyFill="1" applyBorder="1"/>
    <x:xf numFmtId="0" fontId="9" fillId="4" borderId="15" xfId="0" applyNumberFormat="1" applyFont="1" applyFill="1" applyBorder="1"/>
    <x:xf numFmtId="0" fontId="9" fillId="4" borderId="13" xfId="0" applyNumberFormat="1" applyFont="1" applyFill="1" applyBorder="1" applyAlignment="1">
      <x:alignment wrapText="1"/>
    </x:xf>
    <x:xf numFmtId="0" fontId="9" fillId="4" borderId="14" xfId="0" applyNumberFormat="1" applyFont="1" applyFill="1" applyBorder="1" applyAlignment="1">
      <x:alignment wrapText="1"/>
    </x:xf>
    <x:xf numFmtId="0" fontId="9" fillId="4" borderId="15" xfId="0" applyNumberFormat="1" applyFont="1" applyFill="1" applyBorder="1" applyAlignment="1">
      <x:alignment wrapText="1"/>
    </x:xf>
    <x:xf numFmtId="0" fontId="9" fillId="4" borderId="13" xfId="0" applyNumberFormat="1" applyFont="1" applyFill="1" applyBorder="1" applyAlignment="1">
      <x:alignment horizontal="center" wrapText="1"/>
    </x:xf>
    <x:xf numFmtId="0" fontId="9" fillId="4" borderId="14" xfId="0" applyNumberFormat="1" applyFont="1" applyFill="1" applyBorder="1" applyAlignment="1">
      <x:alignment horizontal="center" wrapText="1"/>
    </x:xf>
    <x:xf numFmtId="0" fontId="9" fillId="4" borderId="15" xfId="0" applyNumberFormat="1" applyFont="1" applyFill="1" applyBorder="1" applyAlignment="1">
      <x:alignment horizontal="center" wrapText="1"/>
    </x:xf>
    <x:xf numFmtId="0" fontId="9" fillId="4" borderId="13" xfId="0" applyNumberFormat="1" applyFont="1" applyFill="1" applyBorder="1" applyAlignment="1">
      <x:alignment horizontal="center" vertical="center" wrapText="1"/>
    </x:xf>
    <x:xf numFmtId="0" fontId="9" fillId="4" borderId="14" xfId="0" applyNumberFormat="1" applyFont="1" applyFill="1" applyBorder="1" applyAlignment="1">
      <x:alignment horizontal="center" vertical="center" wrapText="1"/>
    </x:xf>
    <x:xf numFmtId="0" fontId="9" fillId="4" borderId="15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0" fontId="13" fillId="3" borderId="0" xfId="0" applyNumberFormat="1" applyFont="1" applyFill="1" applyBorder="1" applyAlignment="1">
      <x:alignment horizontal="left" vertical="center" wrapText="1"/>
    </x:xf>
    <x:xf numFmtId="0" fontId="14" fillId="3" borderId="10" xfId="0" applyNumberFormat="1" applyFont="1" applyFill="1" applyBorder="1" applyAlignment="1">
      <x:alignment vertical="center" wrapText="1"/>
    </x:xf>
    <x:xf numFmtId="0" fontId="15" fillId="4" borderId="10" xfId="0" applyNumberFormat="1" applyFont="1" applyFill="1" applyBorder="1" applyAlignment="1">
      <x:alignment horizontal="center" vertical="center" wrapText="1"/>
    </x:xf>
    <x:xf numFmtId="0" fontId="16" fillId="3" borderId="0" xfId="0" applyNumberFormat="1" applyFont="1" applyFill="1" applyBorder="1" applyAlignment="1">
      <x:alignment horizontal="left" vertical="center" wrapText="1"/>
    </x:xf>
    <x:xf numFmtId="0" fontId="14" fillId="3" borderId="11" xfId="0" applyNumberFormat="1" applyFont="1" applyFill="1" applyBorder="1" applyAlignment="1">
      <x:alignment vertical="center" wrapText="1"/>
    </x:xf>
    <x:xf numFmtId="0" fontId="15" fillId="4" borderId="11" xfId="0" applyNumberFormat="1" applyFont="1" applyFill="1" applyBorder="1" applyAlignment="1">
      <x:alignment horizontal="center" vertical="center" wrapText="1"/>
    </x:xf>
    <x:xf numFmtId="0" fontId="17" fillId="4" borderId="0" xfId="0" applyNumberFormat="1" applyFont="1" applyFill="1" applyBorder="1" applyAlignment="1">
      <x:alignment horizontal="left" vertical="center" wrapText="1"/>
    </x:xf>
    <x:xf numFmtId="0" fontId="18" fillId="2" borderId="2" xfId="0" applyNumberFormat="1" applyFont="1" applyFill="1" applyBorder="1" applyAlignment="1">
      <x:alignment horizontal="center" vertical="center" wrapText="1"/>
    </x:xf>
    <x:xf numFmtId="0" fontId="18" fillId="2" borderId="3" xfId="0" applyNumberFormat="1" applyFont="1" applyFill="1" applyBorder="1" applyAlignment="1">
      <x:alignment horizontal="center" vertical="center" wrapText="1"/>
    </x:xf>
    <x:xf numFmtId="0" fontId="18" fillId="2" borderId="4" xfId="0" applyNumberFormat="1" applyFont="1" applyFill="1" applyBorder="1" applyAlignment="1">
      <x:alignment horizontal="center" vertical="center" wrapText="1"/>
    </x:xf>
    <x:xf numFmtId="0" fontId="19" fillId="5" borderId="2" xfId="0" applyNumberFormat="1" applyFont="1" applyFill="1" applyBorder="1" applyAlignment="1">
      <x:alignment vertical="center" wrapText="1"/>
    </x:xf>
    <x:xf numFmtId="0" fontId="19" fillId="5" borderId="3" xfId="0" applyNumberFormat="1" applyFont="1" applyFill="1" applyBorder="1" applyAlignment="1">
      <x:alignment vertical="center" wrapText="1"/>
    </x:xf>
    <x:xf numFmtId="0" fontId="19" fillId="5" borderId="3" xfId="0" applyNumberFormat="1" applyFont="1" applyFill="1" applyBorder="1" applyAlignment="1">
      <x:alignment horizontal="center" vertical="center" wrapText="1"/>
    </x:xf>
    <x:xf numFmtId="0" fontId="19" fillId="5" borderId="4" xfId="0" applyNumberFormat="1" applyFont="1" applyFill="1" applyBorder="1" applyAlignment="1">
      <x:alignment horizontal="center" vertical="center" wrapText="1"/>
    </x:xf>
    <x:xf numFmtId="0" fontId="20" fillId="6" borderId="8" xfId="0" applyNumberFormat="1" applyFont="1" applyFill="1" applyBorder="1" applyAlignment="1">
      <x:alignment vertical="top" wrapText="1"/>
    </x:xf>
    <x:xf numFmtId="0" fontId="21" fillId="7" borderId="2" xfId="0" applyNumberFormat="1" applyFont="1" applyFill="1" applyBorder="1" applyAlignment="1">
      <x:alignment vertical="top" wrapText="1"/>
    </x:xf>
    <x:xf numFmtId="0" fontId="21" fillId="7" borderId="3" xfId="0" applyNumberFormat="1" applyFont="1" applyFill="1" applyBorder="1" applyAlignment="1">
      <x:alignment horizontal="center" vertical="center" wrapText="1"/>
    </x:xf>
    <x:xf numFmtId="0" fontId="21" fillId="7" borderId="4" xfId="0" applyNumberFormat="1" applyFont="1" applyFill="1" applyBorder="1" applyAlignment="1">
      <x:alignment horizontal="center" vertical="center" wrapText="1"/>
    </x:xf>
    <x:xf numFmtId="0" fontId="21" fillId="4" borderId="2" xfId="0" applyNumberFormat="1" applyFont="1" applyFill="1" applyBorder="1" applyAlignment="1">
      <x:alignment vertical="top" wrapText="1"/>
    </x:xf>
    <x:xf numFmtId="0" fontId="21" fillId="4" borderId="3" xfId="0" applyNumberFormat="1" applyFont="1" applyFill="1" applyBorder="1" applyAlignment="1">
      <x:alignment horizontal="center" vertical="center" wrapText="1"/>
    </x:xf>
    <x:xf numFmtId="0" fontId="21" fillId="4" borderId="4" xfId="0" applyNumberFormat="1" applyFont="1" applyFill="1" applyBorder="1" applyAlignment="1">
      <x:alignment horizontal="center" vertical="center" wrapText="1"/>
    </x:xf>
    <x:xf numFmtId="0" fontId="14" fillId="3" borderId="12" xfId="0" applyNumberFormat="1" applyFont="1" applyFill="1" applyBorder="1" applyAlignment="1">
      <x:alignment vertical="center" wrapText="1"/>
    </x:xf>
    <x:xf numFmtId="0" fontId="15" fillId="4" borderId="12" xfId="0" applyNumberFormat="1" applyFont="1" applyFill="1" applyBorder="1" applyAlignment="1">
      <x:alignment horizontal="center" vertical="center" wrapText="1"/>
    </x:xf>
    <x:xf numFmtId="0" fontId="15" fillId="8" borderId="2" xfId="0" applyNumberFormat="1" applyFont="1" applyFill="1" applyBorder="1" applyAlignment="1">
      <x:alignment vertical="center" wrapText="1"/>
    </x:xf>
    <x:xf numFmtId="0" fontId="15" fillId="8" borderId="3" xfId="0" applyNumberFormat="1" applyFont="1" applyFill="1" applyBorder="1" applyAlignment="1">
      <x:alignment vertical="center" wrapText="1"/>
    </x:xf>
    <x:xf numFmtId="0" fontId="15" fillId="8" borderId="3" xfId="0" applyNumberFormat="1" applyFont="1" applyFill="1" applyBorder="1" applyAlignment="1">
      <x:alignment horizontal="center" vertical="center" wrapText="1"/>
    </x:xf>
    <x:xf numFmtId="0" fontId="15" fillId="8" borderId="4" xfId="0" applyNumberFormat="1" applyFont="1" applyFill="1" applyBorder="1" applyAlignment="1">
      <x:alignment horizontal="center" vertical="center" wrapText="1"/>
    </x:xf>
    <x:xf numFmtId="0" fontId="19" fillId="2" borderId="2" xfId="0" applyNumberFormat="1" applyFont="1" applyFill="1" applyBorder="1" applyAlignment="1">
      <x:alignment vertical="center" wrapText="1"/>
    </x:xf>
    <x:xf numFmtId="0" fontId="19" fillId="2" borderId="3" xfId="0" applyNumberFormat="1" applyFont="1" applyFill="1" applyBorder="1" applyAlignment="1">
      <x:alignment vertical="center" wrapText="1"/>
    </x:xf>
    <x:xf numFmtId="0" fontId="19" fillId="2" borderId="3" xfId="0" applyNumberFormat="1" applyFont="1" applyFill="1" applyBorder="1" applyAlignment="1">
      <x:alignment horizontal="center" vertical="center" wrapText="1"/>
    </x:xf>
    <x:xf numFmtId="0" fontId="19" fillId="2" borderId="4" xfId="0" applyNumberFormat="1" applyFont="1" applyFill="1" applyBorder="1" applyAlignment="1">
      <x:alignment horizontal="center" vertical="center" wrapText="1"/>
    </x:xf>
    <x:xf numFmtId="0" fontId="15" fillId="9" borderId="2" xfId="0" applyNumberFormat="1" applyFont="1" applyFill="1" applyBorder="1" applyAlignment="1">
      <x:alignment vertical="center" wrapText="1"/>
    </x:xf>
    <x:xf numFmtId="0" fontId="15" fillId="9" borderId="3" xfId="0" applyNumberFormat="1" applyFont="1" applyFill="1" applyBorder="1" applyAlignment="1">
      <x:alignment vertical="center" wrapText="1"/>
    </x:xf>
    <x:xf numFmtId="0" fontId="15" fillId="9" borderId="3" xfId="0" applyNumberFormat="1" applyFont="1" applyFill="1" applyBorder="1" applyAlignment="1">
      <x:alignment horizontal="center" vertical="center" wrapText="1"/>
    </x:xf>
    <x:xf numFmtId="0" fontId="15" fillId="9" borderId="4" xfId="0" applyNumberFormat="1" applyFont="1" applyFill="1" applyBorder="1" applyAlignment="1">
      <x:alignment horizontal="center" vertical="center" wrapText="1"/>
    </x:xf>
    <x:xf numFmtId="0" fontId="11" fillId="2" borderId="1" xfId="0" applyNumberFormat="1" applyFont="1" applyFill="1" applyBorder="1" applyAlignment="1">
      <x:alignment horizontal="center" vertical="center"/>
    </x:xf>
    <x:xf numFmtId="0" fontId="12" fillId="0" borderId="1" xfId="0" applyNumberFormat="1" applyFont="1" applyFill="1" applyBorder="1"/>
    <x:xf numFmtId="0" fontId="13" fillId="3" borderId="1" xfId="0" applyNumberFormat="1" applyFont="1" applyFill="1" applyBorder="1" applyAlignment="1">
      <x:alignment horizontal="left" vertical="center" wrapText="1"/>
    </x:xf>
    <x:xf numFmtId="0" fontId="14" fillId="3" borderId="13" xfId="0" applyNumberFormat="1" applyFont="1" applyFill="1" applyBorder="1" applyAlignment="1">
      <x:alignment vertical="center" wrapText="1"/>
    </x:xf>
    <x:xf numFmtId="0" fontId="15" fillId="4" borderId="13" xfId="0" applyNumberFormat="1" applyFont="1" applyFill="1" applyBorder="1" applyAlignment="1">
      <x:alignment horizontal="center" vertical="center" wrapText="1"/>
    </x:xf>
    <x:xf numFmtId="0" fontId="16" fillId="3" borderId="1" xfId="0" applyNumberFormat="1" applyFont="1" applyFill="1" applyBorder="1" applyAlignment="1">
      <x:alignment horizontal="left" vertical="center" wrapText="1"/>
    </x:xf>
    <x:xf numFmtId="0" fontId="14" fillId="3" borderId="14" xfId="0" applyNumberFormat="1" applyFont="1" applyFill="1" applyBorder="1" applyAlignment="1">
      <x:alignment vertical="center" wrapText="1"/>
    </x:xf>
    <x:xf numFmtId="0" fontId="15" fillId="4" borderId="14" xfId="0" applyNumberFormat="1" applyFont="1" applyFill="1" applyBorder="1" applyAlignment="1">
      <x:alignment horizontal="center" vertical="center" wrapText="1"/>
    </x:xf>
    <x:xf numFmtId="0" fontId="17" fillId="4" borderId="1" xfId="0" applyNumberFormat="1" applyFont="1" applyFill="1" applyBorder="1" applyAlignment="1">
      <x:alignment horizontal="left" vertical="center" wrapText="1"/>
    </x:xf>
    <x:xf numFmtId="0" fontId="18" fillId="2" borderId="5" xfId="0" applyNumberFormat="1" applyFont="1" applyFill="1" applyBorder="1" applyAlignment="1">
      <x:alignment horizontal="center" vertical="center" wrapText="1"/>
    </x:xf>
    <x:xf numFmtId="0" fontId="18" fillId="2" borderId="6" xfId="0" applyNumberFormat="1" applyFont="1" applyFill="1" applyBorder="1" applyAlignment="1">
      <x:alignment horizontal="center" vertical="center" wrapText="1"/>
    </x:xf>
    <x:xf numFmtId="0" fontId="18" fillId="2" borderId="7" xfId="0" applyNumberFormat="1" applyFont="1" applyFill="1" applyBorder="1" applyAlignment="1">
      <x:alignment horizontal="center" vertical="center" wrapText="1"/>
    </x:xf>
    <x:xf numFmtId="0" fontId="19" fillId="5" borderId="5" xfId="0" applyNumberFormat="1" applyFont="1" applyFill="1" applyBorder="1" applyAlignment="1">
      <x:alignment vertical="center" wrapText="1"/>
    </x:xf>
    <x:xf numFmtId="0" fontId="19" fillId="5" borderId="6" xfId="0" applyNumberFormat="1" applyFont="1" applyFill="1" applyBorder="1" applyAlignment="1">
      <x:alignment vertical="center" wrapText="1"/>
    </x:xf>
    <x:xf numFmtId="0" fontId="19" fillId="5" borderId="6" xfId="0" applyNumberFormat="1" applyFont="1" applyFill="1" applyBorder="1" applyAlignment="1">
      <x:alignment horizontal="center" vertical="center" wrapText="1"/>
    </x:xf>
    <x:xf numFmtId="0" fontId="19" fillId="5" borderId="7" xfId="0" applyNumberFormat="1" applyFont="1" applyFill="1" applyBorder="1" applyAlignment="1">
      <x:alignment horizontal="center" vertical="center" wrapText="1"/>
    </x:xf>
    <x:xf numFmtId="0" fontId="20" fillId="6" borderId="9" xfId="0" applyNumberFormat="1" applyFont="1" applyFill="1" applyBorder="1" applyAlignment="1">
      <x:alignment vertical="top" wrapText="1"/>
    </x:xf>
    <x:xf numFmtId="0" fontId="21" fillId="7" borderId="5" xfId="0" applyNumberFormat="1" applyFont="1" applyFill="1" applyBorder="1" applyAlignment="1">
      <x:alignment vertical="top" wrapText="1"/>
    </x:xf>
    <x:xf numFmtId="0" fontId="21" fillId="7" borderId="6" xfId="0" applyNumberFormat="1" applyFont="1" applyFill="1" applyBorder="1" applyAlignment="1">
      <x:alignment horizontal="center" vertical="center" wrapText="1"/>
    </x:xf>
    <x:xf numFmtId="0" fontId="21" fillId="7" borderId="7" xfId="0" applyNumberFormat="1" applyFont="1" applyFill="1" applyBorder="1" applyAlignment="1">
      <x:alignment horizontal="center" vertical="center" wrapText="1"/>
    </x:xf>
    <x:xf numFmtId="0" fontId="21" fillId="4" borderId="5" xfId="0" applyNumberFormat="1" applyFont="1" applyFill="1" applyBorder="1" applyAlignment="1">
      <x:alignment vertical="top" wrapText="1"/>
    </x:xf>
    <x:xf numFmtId="0" fontId="21" fillId="4" borderId="6" xfId="0" applyNumberFormat="1" applyFont="1" applyFill="1" applyBorder="1" applyAlignment="1">
      <x:alignment horizontal="center" vertical="center" wrapText="1"/>
    </x:xf>
    <x:xf numFmtId="0" fontId="21" fillId="4" borderId="7" xfId="0" applyNumberFormat="1" applyFont="1" applyFill="1" applyBorder="1" applyAlignment="1">
      <x:alignment horizontal="center" vertical="center" wrapText="1"/>
    </x:xf>
    <x:xf numFmtId="0" fontId="14" fillId="3" borderId="15" xfId="0" applyNumberFormat="1" applyFont="1" applyFill="1" applyBorder="1" applyAlignment="1">
      <x:alignment vertical="center" wrapText="1"/>
    </x:xf>
    <x:xf numFmtId="0" fontId="15" fillId="4" borderId="15" xfId="0" applyNumberFormat="1" applyFont="1" applyFill="1" applyBorder="1" applyAlignment="1">
      <x:alignment horizontal="center" vertical="center" wrapText="1"/>
    </x:xf>
    <x:xf numFmtId="0" fontId="15" fillId="8" borderId="5" xfId="0" applyNumberFormat="1" applyFont="1" applyFill="1" applyBorder="1" applyAlignment="1">
      <x:alignment vertical="center" wrapText="1"/>
    </x:xf>
    <x:xf numFmtId="0" fontId="15" fillId="8" borderId="6" xfId="0" applyNumberFormat="1" applyFont="1" applyFill="1" applyBorder="1" applyAlignment="1">
      <x:alignment vertical="center" wrapText="1"/>
    </x:xf>
    <x:xf numFmtId="0" fontId="15" fillId="8" borderId="6" xfId="0" applyNumberFormat="1" applyFont="1" applyFill="1" applyBorder="1" applyAlignment="1">
      <x:alignment horizontal="center" vertical="center" wrapText="1"/>
    </x:xf>
    <x:xf numFmtId="0" fontId="15" fillId="8" borderId="7" xfId="0" applyNumberFormat="1" applyFont="1" applyFill="1" applyBorder="1" applyAlignment="1">
      <x:alignment horizontal="center" vertical="center" wrapText="1"/>
    </x:xf>
    <x:xf numFmtId="0" fontId="19" fillId="2" borderId="5" xfId="0" applyNumberFormat="1" applyFont="1" applyFill="1" applyBorder="1" applyAlignment="1">
      <x:alignment vertical="center" wrapText="1"/>
    </x:xf>
    <x:xf numFmtId="0" fontId="19" fillId="2" borderId="6" xfId="0" applyNumberFormat="1" applyFont="1" applyFill="1" applyBorder="1" applyAlignment="1">
      <x:alignment vertical="center" wrapText="1"/>
    </x:xf>
    <x:xf numFmtId="0" fontId="19" fillId="2" borderId="6" xfId="0" applyNumberFormat="1" applyFont="1" applyFill="1" applyBorder="1" applyAlignment="1">
      <x:alignment horizontal="center" vertical="center" wrapText="1"/>
    </x:xf>
    <x:xf numFmtId="0" fontId="19" fillId="2" borderId="7" xfId="0" applyNumberFormat="1" applyFont="1" applyFill="1" applyBorder="1" applyAlignment="1">
      <x:alignment horizontal="center" vertical="center" wrapText="1"/>
    </x:xf>
    <x:xf numFmtId="0" fontId="15" fillId="9" borderId="5" xfId="0" applyNumberFormat="1" applyFont="1" applyFill="1" applyBorder="1" applyAlignment="1">
      <x:alignment vertical="center" wrapText="1"/>
    </x:xf>
    <x:xf numFmtId="0" fontId="15" fillId="9" borderId="6" xfId="0" applyNumberFormat="1" applyFont="1" applyFill="1" applyBorder="1" applyAlignment="1">
      <x:alignment vertical="center" wrapText="1"/>
    </x:xf>
    <x:xf numFmtId="0" fontId="15" fillId="9" borderId="6" xfId="0" applyNumberFormat="1" applyFont="1" applyFill="1" applyBorder="1" applyAlignment="1">
      <x:alignment horizontal="center" vertical="center" wrapText="1"/>
    </x:xf>
    <x:xf numFmtId="0" fontId="15" fillId="9" borderId="7" xfId="0" applyNumberFormat="1" applyFont="1" applyFill="1" applyBorder="1" applyAlignment="1">
      <x:alignment horizontal="center" vertical="center" wrapText="1"/>
    </x:xf>
    <x:xf numFmtId="0" fontId="22" fillId="4" borderId="0" xfId="0" applyNumberFormat="1" applyFont="1" applyFill="1" applyBorder="1"/>
    <x:xf numFmtId="0" fontId="22" fillId="4" borderId="16" xfId="0" applyNumberFormat="1" applyFont="1" applyFill="1" applyBorder="1"/>
    <x:xf numFmtId="0" fontId="22" fillId="4" borderId="17" xfId="0" applyNumberFormat="1" applyFont="1" applyFill="1" applyBorder="1"/>
    <x:xf numFmtId="0" fontId="22" fillId="4" borderId="18" xfId="0" applyNumberFormat="1" applyFont="1" applyFill="1" applyBorder="1"/>
    <x:xf numFmtId="0" fontId="22" fillId="4" borderId="19" xfId="0" applyNumberFormat="1" applyFont="1" applyFill="1" applyBorder="1"/>
    <x:xf numFmtId="0" fontId="22" fillId="4" borderId="16" xfId="0" applyNumberFormat="1" applyFont="1" applyFill="1" applyBorder="1" applyAlignment="1">
      <x:alignment wrapText="1"/>
    </x:xf>
    <x:xf numFmtId="0" fontId="22" fillId="4" borderId="17" xfId="0" applyNumberFormat="1" applyFont="1" applyFill="1" applyBorder="1" applyAlignment="1">
      <x:alignment wrapText="1"/>
    </x:xf>
    <x:xf numFmtId="0" fontId="22" fillId="4" borderId="18" xfId="0" applyNumberFormat="1" applyFont="1" applyFill="1" applyBorder="1" applyAlignment="1">
      <x:alignment wrapText="1"/>
    </x:xf>
    <x:xf numFmtId="0" fontId="22" fillId="4" borderId="19" xfId="0" applyNumberFormat="1" applyFont="1" applyFill="1" applyBorder="1" applyAlignment="1">
      <x:alignment wrapText="1"/>
    </x:xf>
    <x:xf numFmtId="0" fontId="22" fillId="4" borderId="16" xfId="0" applyNumberFormat="1" applyFont="1" applyFill="1" applyBorder="1" applyAlignment="1">
      <x:alignment horizontal="center" wrapText="1"/>
    </x:xf>
    <x:xf numFmtId="0" fontId="22" fillId="4" borderId="17" xfId="0" applyNumberFormat="1" applyFont="1" applyFill="1" applyBorder="1" applyAlignment="1">
      <x:alignment horizontal="center" wrapText="1"/>
    </x:xf>
    <x:xf numFmtId="0" fontId="22" fillId="4" borderId="18" xfId="0" applyNumberFormat="1" applyFont="1" applyFill="1" applyBorder="1" applyAlignment="1">
      <x:alignment horizontal="center" wrapText="1"/>
    </x:xf>
    <x:xf numFmtId="0" fontId="22" fillId="4" borderId="19" xfId="0" applyNumberFormat="1" applyFont="1" applyFill="1" applyBorder="1" applyAlignment="1">
      <x:alignment horizontal="center" wrapText="1"/>
    </x:xf>
    <x:xf numFmtId="0" fontId="22" fillId="4" borderId="16" xfId="0" applyNumberFormat="1" applyFont="1" applyFill="1" applyBorder="1" applyAlignment="1">
      <x:alignment horizontal="center" vertical="center" wrapText="1"/>
    </x:xf>
    <x:xf numFmtId="0" fontId="22" fillId="4" borderId="17" xfId="0" applyNumberFormat="1" applyFont="1" applyFill="1" applyBorder="1" applyAlignment="1">
      <x:alignment horizontal="center" vertical="center" wrapText="1"/>
    </x:xf>
    <x:xf numFmtId="0" fontId="22" fillId="4" borderId="18" xfId="0" applyNumberFormat="1" applyFont="1" applyFill="1" applyBorder="1" applyAlignment="1">
      <x:alignment horizontal="center" vertical="center" wrapText="1"/>
    </x:xf>
    <x:xf numFmtId="0" fontId="22" fillId="4" borderId="19" xfId="0" applyNumberFormat="1" applyFont="1" applyFill="1" applyBorder="1" applyAlignment="1">
      <x:alignment horizontal="center" vertical="center" wrapText="1"/>
    </x:xf>
    <x:xf numFmtId="0" fontId="22" fillId="4" borderId="1" xfId="0" applyNumberFormat="1" applyFont="1" applyFill="1" applyBorder="1"/>
    <x:xf numFmtId="0" fontId="22" fillId="4" borderId="20" xfId="0" applyNumberFormat="1" applyFont="1" applyFill="1" applyBorder="1"/>
    <x:xf numFmtId="0" fontId="22" fillId="4" borderId="21" xfId="0" applyNumberFormat="1" applyFont="1" applyFill="1" applyBorder="1"/>
    <x:xf numFmtId="0" fontId="22" fillId="4" borderId="22" xfId="0" applyNumberFormat="1" applyFont="1" applyFill="1" applyBorder="1"/>
    <x:xf numFmtId="0" fontId="22" fillId="4" borderId="23" xfId="0" applyNumberFormat="1" applyFont="1" applyFill="1" applyBorder="1"/>
    <x:xf numFmtId="0" fontId="22" fillId="4" borderId="20" xfId="0" applyNumberFormat="1" applyFont="1" applyFill="1" applyBorder="1" applyAlignment="1">
      <x:alignment wrapText="1"/>
    </x:xf>
    <x:xf numFmtId="0" fontId="22" fillId="4" borderId="21" xfId="0" applyNumberFormat="1" applyFont="1" applyFill="1" applyBorder="1" applyAlignment="1">
      <x:alignment wrapText="1"/>
    </x:xf>
    <x:xf numFmtId="0" fontId="22" fillId="4" borderId="22" xfId="0" applyNumberFormat="1" applyFont="1" applyFill="1" applyBorder="1" applyAlignment="1">
      <x:alignment wrapText="1"/>
    </x:xf>
    <x:xf numFmtId="0" fontId="22" fillId="4" borderId="23" xfId="0" applyNumberFormat="1" applyFont="1" applyFill="1" applyBorder="1" applyAlignment="1">
      <x:alignment wrapText="1"/>
    </x:xf>
    <x:xf numFmtId="0" fontId="22" fillId="4" borderId="20" xfId="0" applyNumberFormat="1" applyFont="1" applyFill="1" applyBorder="1" applyAlignment="1">
      <x:alignment horizontal="center" wrapText="1"/>
    </x:xf>
    <x:xf numFmtId="0" fontId="22" fillId="4" borderId="21" xfId="0" applyNumberFormat="1" applyFont="1" applyFill="1" applyBorder="1" applyAlignment="1">
      <x:alignment horizontal="center" wrapText="1"/>
    </x:xf>
    <x:xf numFmtId="0" fontId="22" fillId="4" borderId="22" xfId="0" applyNumberFormat="1" applyFont="1" applyFill="1" applyBorder="1" applyAlignment="1">
      <x:alignment horizontal="center" wrapText="1"/>
    </x:xf>
    <x:xf numFmtId="0" fontId="22" fillId="4" borderId="23" xfId="0" applyNumberFormat="1" applyFont="1" applyFill="1" applyBorder="1" applyAlignment="1">
      <x:alignment horizontal="center" wrapText="1"/>
    </x:xf>
    <x:xf numFmtId="0" fontId="22" fillId="4" borderId="20" xfId="0" applyNumberFormat="1" applyFont="1" applyFill="1" applyBorder="1" applyAlignment="1">
      <x:alignment horizontal="center" vertical="center" wrapText="1"/>
    </x:xf>
    <x:xf numFmtId="0" fontId="22" fillId="4" borderId="21" xfId="0" applyNumberFormat="1" applyFont="1" applyFill="1" applyBorder="1" applyAlignment="1">
      <x:alignment horizontal="center" vertical="center" wrapText="1"/>
    </x:xf>
    <x:xf numFmtId="0" fontId="22" fillId="4" borderId="22" xfId="0" applyNumberFormat="1" applyFont="1" applyFill="1" applyBorder="1" applyAlignment="1">
      <x:alignment horizontal="center" vertical="center" wrapText="1"/>
    </x:xf>
    <x:xf numFmtId="0" fontId="22" fillId="4" borderId="23" xfId="0" applyNumberFormat="1" applyFont="1" applyFill="1" applyBorder="1" applyAlignment="1">
      <x:alignment horizontal="center" vertical="center" wrapText="1"/>
    </x:xf>
    <x:xf numFmtId="0" fontId="23" fillId="6" borderId="0" xfId="0" applyNumberFormat="1" applyFont="1" applyFill="1" applyBorder="1"/>
    <x:xf numFmtId="0" fontId="23" fillId="6" borderId="0" xfId="0" applyNumberFormat="1" applyFont="1" applyFill="1" applyBorder="1" applyAlignment="1">
      <x:alignment horizontal="left"/>
    </x:xf>
    <x:xf numFmtId="0" fontId="23" fillId="6" borderId="0" xfId="0" applyNumberFormat="1" applyFont="1" applyFill="1" applyBorder="1" applyAlignment="1">
      <x:alignment horizontal="left" vertical="center"/>
    </x:xf>
    <x:xf numFmtId="0" fontId="23" fillId="6" borderId="1" xfId="0" applyNumberFormat="1" applyFont="1" applyFill="1" applyBorder="1"/>
    <x:xf numFmtId="0" fontId="23" fillId="6" borderId="1" xfId="0" applyNumberFormat="1" applyFont="1" applyFill="1" applyBorder="1" applyAlignment="1">
      <x:alignment horizontal="left"/>
    </x:xf>
    <x:xf numFmtId="0" fontId="23" fillId="6" borderId="1" xfId="0" applyNumberFormat="1" applyFont="1" applyFill="1" applyBorder="1" applyAlignment="1">
      <x:alignment horizontal="left" vertical="center"/>
    </x:xf>
    <x:xf numFmtId="0" fontId="24" fillId="4" borderId="0" xfId="0" applyNumberFormat="1" applyFont="1" applyFill="1" applyBorder="1"/>
    <x:xf numFmtId="0" fontId="24" fillId="4" borderId="16" xfId="0" applyNumberFormat="1" applyFont="1" applyFill="1" applyBorder="1"/>
    <x:xf numFmtId="0" fontId="24" fillId="4" borderId="24" xfId="0" applyNumberFormat="1" applyFont="1" applyFill="1" applyBorder="1"/>
    <x:xf numFmtId="0" fontId="24" fillId="4" borderId="17" xfId="0" applyNumberFormat="1" applyFont="1" applyFill="1" applyBorder="1"/>
    <x:xf numFmtId="0" fontId="24" fillId="4" borderId="25" xfId="0" applyNumberFormat="1" applyFont="1" applyFill="1" applyBorder="1"/>
    <x:xf numFmtId="0" fontId="24" fillId="4" borderId="26" xfId="0" applyNumberFormat="1" applyFont="1" applyFill="1" applyBorder="1"/>
    <x:xf numFmtId="0" fontId="24" fillId="4" borderId="18" xfId="0" applyNumberFormat="1" applyFont="1" applyFill="1" applyBorder="1"/>
    <x:xf numFmtId="0" fontId="24" fillId="4" borderId="27" xfId="0" applyNumberFormat="1" applyFont="1" applyFill="1" applyBorder="1"/>
    <x:xf numFmtId="0" fontId="24" fillId="4" borderId="19" xfId="0" applyNumberFormat="1" applyFont="1" applyFill="1" applyBorder="1"/>
    <x:xf numFmtId="0" fontId="24" fillId="4" borderId="16" xfId="0" applyNumberFormat="1" applyFont="1" applyFill="1" applyBorder="1" applyAlignment="1">
      <x:alignment wrapText="1"/>
    </x:xf>
    <x:xf numFmtId="0" fontId="24" fillId="4" borderId="24" xfId="0" applyNumberFormat="1" applyFont="1" applyFill="1" applyBorder="1" applyAlignment="1">
      <x:alignment wrapText="1"/>
    </x:xf>
    <x:xf numFmtId="0" fontId="24" fillId="4" borderId="17" xfId="0" applyNumberFormat="1" applyFont="1" applyFill="1" applyBorder="1" applyAlignment="1">
      <x:alignment wrapText="1"/>
    </x:xf>
    <x:xf numFmtId="0" fontId="24" fillId="4" borderId="25" xfId="0" applyNumberFormat="1" applyFont="1" applyFill="1" applyBorder="1" applyAlignment="1">
      <x:alignment wrapText="1"/>
    </x:xf>
    <x:xf numFmtId="0" fontId="24" fillId="4" borderId="0" xfId="0" applyNumberFormat="1" applyFont="1" applyFill="1" applyBorder="1" applyAlignment="1">
      <x:alignment wrapText="1"/>
    </x:xf>
    <x:xf numFmtId="0" fontId="24" fillId="4" borderId="26" xfId="0" applyNumberFormat="1" applyFont="1" applyFill="1" applyBorder="1" applyAlignment="1">
      <x:alignment wrapText="1"/>
    </x:xf>
    <x:xf numFmtId="0" fontId="24" fillId="4" borderId="18" xfId="0" applyNumberFormat="1" applyFont="1" applyFill="1" applyBorder="1" applyAlignment="1">
      <x:alignment wrapText="1"/>
    </x:xf>
    <x:xf numFmtId="0" fontId="24" fillId="4" borderId="27" xfId="0" applyNumberFormat="1" applyFont="1" applyFill="1" applyBorder="1" applyAlignment="1">
      <x:alignment wrapText="1"/>
    </x:xf>
    <x:xf numFmtId="0" fontId="24" fillId="4" borderId="19" xfId="0" applyNumberFormat="1" applyFont="1" applyFill="1" applyBorder="1" applyAlignment="1">
      <x:alignment wrapText="1"/>
    </x:xf>
    <x:xf numFmtId="0" fontId="24" fillId="4" borderId="16" xfId="0" applyNumberFormat="1" applyFont="1" applyFill="1" applyBorder="1" applyAlignment="1">
      <x:alignment vertical="center" wrapText="1"/>
    </x:xf>
    <x:xf numFmtId="0" fontId="24" fillId="4" borderId="24" xfId="0" applyNumberFormat="1" applyFont="1" applyFill="1" applyBorder="1" applyAlignment="1">
      <x:alignment vertical="center" wrapText="1"/>
    </x:xf>
    <x:xf numFmtId="0" fontId="24" fillId="4" borderId="17" xfId="0" applyNumberFormat="1" applyFont="1" applyFill="1" applyBorder="1" applyAlignment="1">
      <x:alignment vertical="center" wrapText="1"/>
    </x:xf>
    <x:xf numFmtId="0" fontId="24" fillId="4" borderId="25" xfId="0" applyNumberFormat="1" applyFont="1" applyFill="1" applyBorder="1" applyAlignment="1">
      <x:alignment vertical="center" wrapText="1"/>
    </x:xf>
    <x:xf numFmtId="0" fontId="24" fillId="4" borderId="0" xfId="0" applyNumberFormat="1" applyFont="1" applyFill="1" applyBorder="1" applyAlignment="1">
      <x:alignment vertical="center" wrapText="1"/>
    </x:xf>
    <x:xf numFmtId="0" fontId="24" fillId="4" borderId="26" xfId="0" applyNumberFormat="1" applyFont="1" applyFill="1" applyBorder="1" applyAlignment="1">
      <x:alignment vertical="center" wrapText="1"/>
    </x:xf>
    <x:xf numFmtId="0" fontId="24" fillId="4" borderId="18" xfId="0" applyNumberFormat="1" applyFont="1" applyFill="1" applyBorder="1" applyAlignment="1">
      <x:alignment vertical="center" wrapText="1"/>
    </x:xf>
    <x:xf numFmtId="0" fontId="24" fillId="4" borderId="27" xfId="0" applyNumberFormat="1" applyFont="1" applyFill="1" applyBorder="1" applyAlignment="1">
      <x:alignment vertical="center" wrapText="1"/>
    </x:xf>
    <x:xf numFmtId="0" fontId="24" fillId="4" borderId="19" xfId="0" applyNumberFormat="1" applyFont="1" applyFill="1" applyBorder="1" applyAlignment="1">
      <x:alignment vertical="center" wrapText="1"/>
    </x:xf>
    <x:xf numFmtId="0" fontId="24" fillId="4" borderId="1" xfId="0" applyNumberFormat="1" applyFont="1" applyFill="1" applyBorder="1"/>
    <x:xf numFmtId="0" fontId="24" fillId="4" borderId="20" xfId="0" applyNumberFormat="1" applyFont="1" applyFill="1" applyBorder="1"/>
    <x:xf numFmtId="0" fontId="24" fillId="4" borderId="28" xfId="0" applyNumberFormat="1" applyFont="1" applyFill="1" applyBorder="1"/>
    <x:xf numFmtId="0" fontId="24" fillId="4" borderId="21" xfId="0" applyNumberFormat="1" applyFont="1" applyFill="1" applyBorder="1"/>
    <x:xf numFmtId="0" fontId="24" fillId="4" borderId="29" xfId="0" applyNumberFormat="1" applyFont="1" applyFill="1" applyBorder="1"/>
    <x:xf numFmtId="0" fontId="24" fillId="4" borderId="30" xfId="0" applyNumberFormat="1" applyFont="1" applyFill="1" applyBorder="1"/>
    <x:xf numFmtId="0" fontId="24" fillId="4" borderId="22" xfId="0" applyNumberFormat="1" applyFont="1" applyFill="1" applyBorder="1"/>
    <x:xf numFmtId="0" fontId="24" fillId="4" borderId="31" xfId="0" applyNumberFormat="1" applyFont="1" applyFill="1" applyBorder="1"/>
    <x:xf numFmtId="0" fontId="24" fillId="4" borderId="23" xfId="0" applyNumberFormat="1" applyFont="1" applyFill="1" applyBorder="1"/>
    <x:xf numFmtId="0" fontId="24" fillId="4" borderId="20" xfId="0" applyNumberFormat="1" applyFont="1" applyFill="1" applyBorder="1" applyAlignment="1">
      <x:alignment wrapText="1"/>
    </x:xf>
    <x:xf numFmtId="0" fontId="24" fillId="4" borderId="28" xfId="0" applyNumberFormat="1" applyFont="1" applyFill="1" applyBorder="1" applyAlignment="1">
      <x:alignment wrapText="1"/>
    </x:xf>
    <x:xf numFmtId="0" fontId="24" fillId="4" borderId="21" xfId="0" applyNumberFormat="1" applyFont="1" applyFill="1" applyBorder="1" applyAlignment="1">
      <x:alignment wrapText="1"/>
    </x:xf>
    <x:xf numFmtId="0" fontId="24" fillId="4" borderId="29" xfId="0" applyNumberFormat="1" applyFont="1" applyFill="1" applyBorder="1" applyAlignment="1">
      <x:alignment wrapText="1"/>
    </x:xf>
    <x:xf numFmtId="0" fontId="24" fillId="4" borderId="1" xfId="0" applyNumberFormat="1" applyFont="1" applyFill="1" applyBorder="1" applyAlignment="1">
      <x:alignment wrapText="1"/>
    </x:xf>
    <x:xf numFmtId="0" fontId="24" fillId="4" borderId="30" xfId="0" applyNumberFormat="1" applyFont="1" applyFill="1" applyBorder="1" applyAlignment="1">
      <x:alignment wrapText="1"/>
    </x:xf>
    <x:xf numFmtId="0" fontId="24" fillId="4" borderId="22" xfId="0" applyNumberFormat="1" applyFont="1" applyFill="1" applyBorder="1" applyAlignment="1">
      <x:alignment wrapText="1"/>
    </x:xf>
    <x:xf numFmtId="0" fontId="24" fillId="4" borderId="31" xfId="0" applyNumberFormat="1" applyFont="1" applyFill="1" applyBorder="1" applyAlignment="1">
      <x:alignment wrapText="1"/>
    </x:xf>
    <x:xf numFmtId="0" fontId="24" fillId="4" borderId="23" xfId="0" applyNumberFormat="1" applyFont="1" applyFill="1" applyBorder="1" applyAlignment="1">
      <x:alignment wrapText="1"/>
    </x:xf>
    <x:xf numFmtId="0" fontId="24" fillId="4" borderId="20" xfId="0" applyNumberFormat="1" applyFont="1" applyFill="1" applyBorder="1" applyAlignment="1">
      <x:alignment vertical="center" wrapText="1"/>
    </x:xf>
    <x:xf numFmtId="0" fontId="24" fillId="4" borderId="28" xfId="0" applyNumberFormat="1" applyFont="1" applyFill="1" applyBorder="1" applyAlignment="1">
      <x:alignment vertical="center" wrapText="1"/>
    </x:xf>
    <x:xf numFmtId="0" fontId="24" fillId="4" borderId="21" xfId="0" applyNumberFormat="1" applyFont="1" applyFill="1" applyBorder="1" applyAlignment="1">
      <x:alignment vertical="center" wrapText="1"/>
    </x:xf>
    <x:xf numFmtId="0" fontId="24" fillId="4" borderId="29" xfId="0" applyNumberFormat="1" applyFont="1" applyFill="1" applyBorder="1" applyAlignment="1">
      <x:alignment vertical="center" wrapText="1"/>
    </x:xf>
    <x:xf numFmtId="0" fontId="24" fillId="4" borderId="1" xfId="0" applyNumberFormat="1" applyFont="1" applyFill="1" applyBorder="1" applyAlignment="1">
      <x:alignment vertical="center" wrapText="1"/>
    </x:xf>
    <x:xf numFmtId="0" fontId="24" fillId="4" borderId="30" xfId="0" applyNumberFormat="1" applyFont="1" applyFill="1" applyBorder="1" applyAlignment="1">
      <x:alignment vertical="center" wrapText="1"/>
    </x:xf>
    <x:xf numFmtId="0" fontId="24" fillId="4" borderId="22" xfId="0" applyNumberFormat="1" applyFont="1" applyFill="1" applyBorder="1" applyAlignment="1">
      <x:alignment vertical="center" wrapText="1"/>
    </x:xf>
    <x:xf numFmtId="0" fontId="24" fillId="4" borderId="31" xfId="0" applyNumberFormat="1" applyFont="1" applyFill="1" applyBorder="1" applyAlignment="1">
      <x:alignment vertical="center" wrapText="1"/>
    </x:xf>
    <x:xf numFmtId="0" fontId="24" fillId="4" borderId="23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/>
    <x:xf numFmtId="0" fontId="5" fillId="6" borderId="8" xfId="0" applyNumberFormat="1" applyFont="1" applyFill="1" applyBorder="1"/>
    <x:xf numFmtId="0" fontId="5" fillId="6" borderId="8" xfId="0" applyNumberFormat="1" applyFont="1" applyFill="1" applyBorder="1" applyAlignment="1">
      <x:alignment horizontal="center"/>
    </x:xf>
    <x:xf numFmtId="0" fontId="5" fillId="6" borderId="8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/>
    <x:xf numFmtId="0" fontId="5" fillId="6" borderId="9" xfId="0" applyNumberFormat="1" applyFont="1" applyFill="1" applyBorder="1"/>
    <x:xf numFmtId="0" fontId="5" fillId="6" borderId="9" xfId="0" applyNumberFormat="1" applyFont="1" applyFill="1" applyBorder="1" applyAlignment="1">
      <x:alignment horizontal="center"/>
    </x:xf>
    <x:xf numFmtId="0" fontId="5" fillId="6" borderId="9" xfId="0" applyNumberFormat="1" applyFont="1" applyFill="1" applyBorder="1" applyAlignment="1">
      <x:alignment horizontal="center" vertical="center"/>
    </x:xf>
    <x:xf numFmtId="0" fontId="8" fillId="4" borderId="2" xfId="0" applyNumberFormat="1" applyFont="1" applyFill="1" applyBorder="1" applyAlignment="1">
      <x:alignment vertical="center" wrapText="1"/>
    </x:xf>
    <x:xf numFmtId="0" fontId="8" fillId="4" borderId="3" xfId="0" applyNumberFormat="1" applyFont="1" applyFill="1" applyBorder="1" applyAlignment="1">
      <x:alignment vertical="center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8" fillId="4" borderId="6" xfId="0" applyNumberFormat="1" applyFont="1" applyFill="1" applyBorder="1" applyAlignment="1">
      <x:alignment vertical="center" wrapText="1"/>
    </x:xf>
    <x:xf numFmtId="0" fontId="8" fillId="4" borderId="7" xfId="0" applyNumberFormat="1" applyFont="1" applyFill="1" applyBorder="1" applyAlignment="1">
      <x:alignment vertical="center" wrapText="1"/>
    </x:xf>
    <x:xf numFmtId="0" fontId="8" fillId="7" borderId="2" xfId="0" applyNumberFormat="1" applyFont="1" applyFill="1" applyBorder="1" applyAlignment="1">
      <x:alignment vertical="center" wrapText="1"/>
    </x:xf>
    <x:xf numFmtId="0" fontId="8" fillId="7" borderId="3" xfId="0" applyNumberFormat="1" applyFont="1" applyFill="1" applyBorder="1" applyAlignment="1">
      <x:alignment vertical="center" wrapText="1"/>
    </x:xf>
    <x:xf numFmtId="0" fontId="8" fillId="7" borderId="4" xfId="0" applyNumberFormat="1" applyFont="1" applyFill="1" applyBorder="1" applyAlignment="1">
      <x:alignment vertical="center" wrapText="1"/>
    </x:xf>
    <x:xf numFmtId="0" fontId="8" fillId="7" borderId="5" xfId="0" applyNumberFormat="1" applyFont="1" applyFill="1" applyBorder="1" applyAlignment="1">
      <x:alignment vertical="center" wrapText="1"/>
    </x:xf>
    <x:xf numFmtId="0" fontId="8" fillId="7" borderId="6" xfId="0" applyNumberFormat="1" applyFont="1" applyFill="1" applyBorder="1" applyAlignment="1">
      <x:alignment vertical="center" wrapText="1"/>
    </x:xf>
    <x:xf numFmtId="0" fontId="8" fillId="7" borderId="7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horizontal="center" vertical="top" wrapText="1"/>
    </x:xf>
    <x:xf numFmtId="0" fontId="8" fillId="4" borderId="5" xfId="0" applyNumberFormat="1" applyFont="1" applyFill="1" applyBorder="1" applyAlignment="1">
      <x:alignment horizontal="center" vertical="top" wrapText="1"/>
    </x:xf>
    <x:xf numFmtId="0" fontId="8" fillId="7" borderId="2" xfId="0" applyNumberFormat="1" applyFont="1" applyFill="1" applyBorder="1" applyAlignment="1">
      <x:alignment horizontal="center" vertical="top" wrapText="1"/>
    </x:xf>
    <x:xf numFmtId="0" fontId="8" fillId="7" borderId="5" xfId="0" applyNumberFormat="1" applyFont="1" applyFill="1" applyBorder="1" applyAlignment="1">
      <x:alignment horizontal="center" vertical="top" wrapText="1"/>
    </x:xf>
    <x:xf numFmtId="0" fontId="8" fillId="4" borderId="16" xfId="0" applyNumberFormat="1" applyFont="1" applyFill="1" applyBorder="1"/>
    <x:xf numFmtId="0" fontId="8" fillId="4" borderId="24" xfId="0" applyNumberFormat="1" applyFont="1" applyFill="1" applyBorder="1"/>
    <x:xf numFmtId="0" fontId="8" fillId="4" borderId="17" xfId="0" applyNumberFormat="1" applyFont="1" applyFill="1" applyBorder="1"/>
    <x:xf numFmtId="0" fontId="8" fillId="4" borderId="25" xfId="0" applyNumberFormat="1" applyFont="1" applyFill="1" applyBorder="1"/>
    <x:xf numFmtId="0" fontId="8" fillId="4" borderId="26" xfId="0" applyNumberFormat="1" applyFont="1" applyFill="1" applyBorder="1"/>
    <x:xf numFmtId="0" fontId="8" fillId="4" borderId="18" xfId="0" applyNumberFormat="1" applyFont="1" applyFill="1" applyBorder="1"/>
    <x:xf numFmtId="0" fontId="8" fillId="4" borderId="27" xfId="0" applyNumberFormat="1" applyFont="1" applyFill="1" applyBorder="1"/>
    <x:xf numFmtId="0" fontId="8" fillId="4" borderId="19" xfId="0" applyNumberFormat="1" applyFont="1" applyFill="1" applyBorder="1"/>
    <x:xf numFmtId="0" fontId="8" fillId="4" borderId="16" xfId="0" applyNumberFormat="1" applyFont="1" applyFill="1" applyBorder="1" applyAlignment="1">
      <x:alignment wrapText="1"/>
    </x:xf>
    <x:xf numFmtId="0" fontId="8" fillId="4" borderId="24" xfId="0" applyNumberFormat="1" applyFont="1" applyFill="1" applyBorder="1" applyAlignment="1">
      <x:alignment wrapText="1"/>
    </x:xf>
    <x:xf numFmtId="0" fontId="8" fillId="4" borderId="17" xfId="0" applyNumberFormat="1" applyFont="1" applyFill="1" applyBorder="1" applyAlignment="1">
      <x:alignment wrapText="1"/>
    </x:xf>
    <x:xf numFmtId="0" fontId="8" fillId="4" borderId="25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  <x:xf numFmtId="0" fontId="8" fillId="4" borderId="26" xfId="0" applyNumberFormat="1" applyFont="1" applyFill="1" applyBorder="1" applyAlignment="1">
      <x:alignment wrapText="1"/>
    </x:xf>
    <x:xf numFmtId="0" fontId="8" fillId="4" borderId="18" xfId="0" applyNumberFormat="1" applyFont="1" applyFill="1" applyBorder="1" applyAlignment="1">
      <x:alignment wrapText="1"/>
    </x:xf>
    <x:xf numFmtId="0" fontId="8" fillId="4" borderId="27" xfId="0" applyNumberFormat="1" applyFont="1" applyFill="1" applyBorder="1" applyAlignment="1">
      <x:alignment wrapText="1"/>
    </x:xf>
    <x:xf numFmtId="0" fontId="8" fillId="4" borderId="19" xfId="0" applyNumberFormat="1" applyFont="1" applyFill="1" applyBorder="1" applyAlignment="1">
      <x:alignment wrapText="1"/>
    </x:xf>
    <x:xf numFmtId="0" fontId="8" fillId="4" borderId="16" xfId="0" applyNumberFormat="1" applyFont="1" applyFill="1" applyBorder="1" applyAlignment="1">
      <x:alignment vertical="center" wrapText="1"/>
    </x:xf>
    <x:xf numFmtId="0" fontId="8" fillId="4" borderId="24" xfId="0" applyNumberFormat="1" applyFont="1" applyFill="1" applyBorder="1" applyAlignment="1">
      <x:alignment vertical="center" wrapText="1"/>
    </x:xf>
    <x:xf numFmtId="0" fontId="8" fillId="4" borderId="17" xfId="0" applyNumberFormat="1" applyFont="1" applyFill="1" applyBorder="1" applyAlignment="1">
      <x:alignment vertical="center" wrapText="1"/>
    </x:xf>
    <x:xf numFmtId="0" fontId="8" fillId="4" borderId="25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26" xfId="0" applyNumberFormat="1" applyFont="1" applyFill="1" applyBorder="1" applyAlignment="1">
      <x:alignment vertical="center" wrapText="1"/>
    </x:xf>
    <x:xf numFmtId="0" fontId="8" fillId="4" borderId="18" xfId="0" applyNumberFormat="1" applyFont="1" applyFill="1" applyBorder="1" applyAlignment="1">
      <x:alignment vertical="center" wrapText="1"/>
    </x:xf>
    <x:xf numFmtId="0" fontId="8" fillId="4" borderId="27" xfId="0" applyNumberFormat="1" applyFont="1" applyFill="1" applyBorder="1" applyAlignment="1">
      <x:alignment vertical="center" wrapText="1"/>
    </x:xf>
    <x:xf numFmtId="0" fontId="8" fillId="4" borderId="19" xfId="0" applyNumberFormat="1" applyFont="1" applyFill="1" applyBorder="1" applyAlignment="1">
      <x:alignment vertical="center" wrapText="1"/>
    </x:xf>
    <x:xf numFmtId="0" fontId="8" fillId="4" borderId="20" xfId="0" applyNumberFormat="1" applyFont="1" applyFill="1" applyBorder="1"/>
    <x:xf numFmtId="0" fontId="8" fillId="4" borderId="28" xfId="0" applyNumberFormat="1" applyFont="1" applyFill="1" applyBorder="1"/>
    <x:xf numFmtId="0" fontId="8" fillId="4" borderId="21" xfId="0" applyNumberFormat="1" applyFont="1" applyFill="1" applyBorder="1"/>
    <x:xf numFmtId="0" fontId="8" fillId="4" borderId="29" xfId="0" applyNumberFormat="1" applyFont="1" applyFill="1" applyBorder="1"/>
    <x:xf numFmtId="0" fontId="8" fillId="4" borderId="30" xfId="0" applyNumberFormat="1" applyFont="1" applyFill="1" applyBorder="1"/>
    <x:xf numFmtId="0" fontId="8" fillId="4" borderId="22" xfId="0" applyNumberFormat="1" applyFont="1" applyFill="1" applyBorder="1"/>
    <x:xf numFmtId="0" fontId="8" fillId="4" borderId="31" xfId="0" applyNumberFormat="1" applyFont="1" applyFill="1" applyBorder="1"/>
    <x:xf numFmtId="0" fontId="8" fillId="4" borderId="23" xfId="0" applyNumberFormat="1" applyFont="1" applyFill="1" applyBorder="1"/>
    <x:xf numFmtId="0" fontId="8" fillId="4" borderId="20" xfId="0" applyNumberFormat="1" applyFont="1" applyFill="1" applyBorder="1" applyAlignment="1">
      <x:alignment wrapText="1"/>
    </x:xf>
    <x:xf numFmtId="0" fontId="8" fillId="4" borderId="28" xfId="0" applyNumberFormat="1" applyFont="1" applyFill="1" applyBorder="1" applyAlignment="1">
      <x:alignment wrapText="1"/>
    </x:xf>
    <x:xf numFmtId="0" fontId="8" fillId="4" borderId="21" xfId="0" applyNumberFormat="1" applyFont="1" applyFill="1" applyBorder="1" applyAlignment="1">
      <x:alignment wrapText="1"/>
    </x:xf>
    <x:xf numFmtId="0" fontId="8" fillId="4" borderId="29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wrapText="1"/>
    </x:xf>
    <x:xf numFmtId="0" fontId="8" fillId="4" borderId="30" xfId="0" applyNumberFormat="1" applyFont="1" applyFill="1" applyBorder="1" applyAlignment="1">
      <x:alignment wrapText="1"/>
    </x:xf>
    <x:xf numFmtId="0" fontId="8" fillId="4" borderId="22" xfId="0" applyNumberFormat="1" applyFont="1" applyFill="1" applyBorder="1" applyAlignment="1">
      <x:alignment wrapText="1"/>
    </x:xf>
    <x:xf numFmtId="0" fontId="8" fillId="4" borderId="31" xfId="0" applyNumberFormat="1" applyFont="1" applyFill="1" applyBorder="1" applyAlignment="1">
      <x:alignment wrapText="1"/>
    </x:xf>
    <x:xf numFmtId="0" fontId="8" fillId="4" borderId="23" xfId="0" applyNumberFormat="1" applyFont="1" applyFill="1" applyBorder="1" applyAlignment="1">
      <x:alignment wrapText="1"/>
    </x:xf>
    <x:xf numFmtId="0" fontId="8" fillId="4" borderId="20" xfId="0" applyNumberFormat="1" applyFont="1" applyFill="1" applyBorder="1" applyAlignment="1">
      <x:alignment vertical="center" wrapText="1"/>
    </x:xf>
    <x:xf numFmtId="0" fontId="8" fillId="4" borderId="28" xfId="0" applyNumberFormat="1" applyFont="1" applyFill="1" applyBorder="1" applyAlignment="1">
      <x:alignment vertical="center" wrapText="1"/>
    </x:xf>
    <x:xf numFmtId="0" fontId="8" fillId="4" borderId="21" xfId="0" applyNumberFormat="1" applyFont="1" applyFill="1" applyBorder="1" applyAlignment="1">
      <x:alignment vertical="center" wrapText="1"/>
    </x:xf>
    <x:xf numFmtId="0" fontId="8" fillId="4" borderId="29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0" fontId="8" fillId="4" borderId="30" xfId="0" applyNumberFormat="1" applyFont="1" applyFill="1" applyBorder="1" applyAlignment="1">
      <x:alignment vertical="center" wrapText="1"/>
    </x:xf>
    <x:xf numFmtId="0" fontId="8" fillId="4" borderId="22" xfId="0" applyNumberFormat="1" applyFont="1" applyFill="1" applyBorder="1" applyAlignment="1">
      <x:alignment vertical="center" wrapText="1"/>
    </x:xf>
    <x:xf numFmtId="0" fontId="8" fillId="4" borderId="31" xfId="0" applyNumberFormat="1" applyFont="1" applyFill="1" applyBorder="1" applyAlignment="1">
      <x:alignment vertical="center" wrapText="1"/>
    </x:xf>
    <x:xf numFmtId="0" fontId="8" fillId="4" borderId="2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vertical="center" wrapText="1"/>
    </x:xf>
    <x:xf numFmtId="0" fontId="3" fillId="3" borderId="7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vertical="center" wrapText="1"/>
    </x:xf>
    <x:xf numFmtId="0" fontId="5" fillId="2" borderId="4" xfId="0" applyNumberFormat="1" applyFont="1" applyFill="1" applyBorder="1" applyAlignment="1">
      <x:alignment vertical="center" wrapText="1"/>
    </x:xf>
    <x:xf numFmtId="0" fontId="5" fillId="2" borderId="5" xfId="0" applyNumberFormat="1" applyFont="1" applyFill="1" applyBorder="1" applyAlignment="1">
      <x:alignment vertical="center" wrapText="1"/>
    </x:xf>
    <x:xf numFmtId="0" fontId="5" fillId="2" borderId="6" xfId="0" applyNumberFormat="1" applyFont="1" applyFill="1" applyBorder="1" applyAlignment="1">
      <x:alignment vertical="center" wrapText="1"/>
    </x:xf>
    <x:xf numFmtId="0" fontId="5" fillId="2" borderId="7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/>
    <x:xf numFmtId="0" fontId="8" fillId="8" borderId="16" xfId="0" applyNumberFormat="1" applyFont="1" applyFill="1" applyBorder="1"/>
    <x:xf numFmtId="0" fontId="8" fillId="8" borderId="24" xfId="0" applyNumberFormat="1" applyFont="1" applyFill="1" applyBorder="1"/>
    <x:xf numFmtId="0" fontId="8" fillId="8" borderId="17" xfId="0" applyNumberFormat="1" applyFont="1" applyFill="1" applyBorder="1"/>
    <x:xf numFmtId="0" fontId="8" fillId="8" borderId="25" xfId="0" applyNumberFormat="1" applyFont="1" applyFill="1" applyBorder="1"/>
    <x:xf numFmtId="0" fontId="8" fillId="8" borderId="26" xfId="0" applyNumberFormat="1" applyFont="1" applyFill="1" applyBorder="1"/>
    <x:xf numFmtId="0" fontId="8" fillId="8" borderId="18" xfId="0" applyNumberFormat="1" applyFont="1" applyFill="1" applyBorder="1"/>
    <x:xf numFmtId="0" fontId="8" fillId="8" borderId="27" xfId="0" applyNumberFormat="1" applyFont="1" applyFill="1" applyBorder="1"/>
    <x:xf numFmtId="0" fontId="8" fillId="8" borderId="19" xfId="0" applyNumberFormat="1" applyFont="1" applyFill="1" applyBorder="1"/>
    <x:xf numFmtId="0" fontId="8" fillId="8" borderId="16" xfId="0" applyNumberFormat="1" applyFont="1" applyFill="1" applyBorder="1" applyAlignment="1">
      <x:alignment wrapText="1"/>
    </x:xf>
    <x:xf numFmtId="0" fontId="8" fillId="8" borderId="24" xfId="0" applyNumberFormat="1" applyFont="1" applyFill="1" applyBorder="1" applyAlignment="1">
      <x:alignment wrapText="1"/>
    </x:xf>
    <x:xf numFmtId="0" fontId="8" fillId="8" borderId="17" xfId="0" applyNumberFormat="1" applyFont="1" applyFill="1" applyBorder="1" applyAlignment="1">
      <x:alignment wrapText="1"/>
    </x:xf>
    <x:xf numFmtId="0" fontId="8" fillId="8" borderId="25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26" xfId="0" applyNumberFormat="1" applyFont="1" applyFill="1" applyBorder="1" applyAlignment="1">
      <x:alignment wrapText="1"/>
    </x:xf>
    <x:xf numFmtId="0" fontId="8" fillId="8" borderId="18" xfId="0" applyNumberFormat="1" applyFont="1" applyFill="1" applyBorder="1" applyAlignment="1">
      <x:alignment wrapText="1"/>
    </x:xf>
    <x:xf numFmtId="0" fontId="8" fillId="8" borderId="27" xfId="0" applyNumberFormat="1" applyFont="1" applyFill="1" applyBorder="1" applyAlignment="1">
      <x:alignment wrapText="1"/>
    </x:xf>
    <x:xf numFmtId="0" fontId="8" fillId="8" borderId="19" xfId="0" applyNumberFormat="1" applyFont="1" applyFill="1" applyBorder="1" applyAlignment="1">
      <x:alignment wrapText="1"/>
    </x:xf>
    <x:xf numFmtId="0" fontId="8" fillId="8" borderId="16" xfId="0" applyNumberFormat="1" applyFont="1" applyFill="1" applyBorder="1" applyAlignment="1">
      <x:alignment vertical="center" wrapText="1"/>
    </x:xf>
    <x:xf numFmtId="0" fontId="8" fillId="8" borderId="24" xfId="0" applyNumberFormat="1" applyFont="1" applyFill="1" applyBorder="1" applyAlignment="1">
      <x:alignment vertical="center" wrapText="1"/>
    </x:xf>
    <x:xf numFmtId="0" fontId="8" fillId="8" borderId="17" xfId="0" applyNumberFormat="1" applyFont="1" applyFill="1" applyBorder="1" applyAlignment="1">
      <x:alignment vertical="center" wrapText="1"/>
    </x:xf>
    <x:xf numFmtId="0" fontId="8" fillId="8" borderId="25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26" xfId="0" applyNumberFormat="1" applyFont="1" applyFill="1" applyBorder="1" applyAlignment="1">
      <x:alignment vertical="center" wrapText="1"/>
    </x:xf>
    <x:xf numFmtId="0" fontId="8" fillId="8" borderId="18" xfId="0" applyNumberFormat="1" applyFont="1" applyFill="1" applyBorder="1" applyAlignment="1">
      <x:alignment vertical="center" wrapText="1"/>
    </x:xf>
    <x:xf numFmtId="0" fontId="8" fillId="8" borderId="27" xfId="0" applyNumberFormat="1" applyFont="1" applyFill="1" applyBorder="1" applyAlignment="1">
      <x:alignment vertical="center" wrapText="1"/>
    </x:xf>
    <x:xf numFmtId="0" fontId="8" fillId="8" borderId="19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/>
    <x:xf numFmtId="0" fontId="8" fillId="8" borderId="20" xfId="0" applyNumberFormat="1" applyFont="1" applyFill="1" applyBorder="1"/>
    <x:xf numFmtId="0" fontId="8" fillId="8" borderId="28" xfId="0" applyNumberFormat="1" applyFont="1" applyFill="1" applyBorder="1"/>
    <x:xf numFmtId="0" fontId="8" fillId="8" borderId="21" xfId="0" applyNumberFormat="1" applyFont="1" applyFill="1" applyBorder="1"/>
    <x:xf numFmtId="0" fontId="8" fillId="8" borderId="29" xfId="0" applyNumberFormat="1" applyFont="1" applyFill="1" applyBorder="1"/>
    <x:xf numFmtId="0" fontId="8" fillId="8" borderId="30" xfId="0" applyNumberFormat="1" applyFont="1" applyFill="1" applyBorder="1"/>
    <x:xf numFmtId="0" fontId="8" fillId="8" borderId="22" xfId="0" applyNumberFormat="1" applyFont="1" applyFill="1" applyBorder="1"/>
    <x:xf numFmtId="0" fontId="8" fillId="8" borderId="31" xfId="0" applyNumberFormat="1" applyFont="1" applyFill="1" applyBorder="1"/>
    <x:xf numFmtId="0" fontId="8" fillId="8" borderId="23" xfId="0" applyNumberFormat="1" applyFont="1" applyFill="1" applyBorder="1"/>
    <x:xf numFmtId="0" fontId="8" fillId="8" borderId="20" xfId="0" applyNumberFormat="1" applyFont="1" applyFill="1" applyBorder="1" applyAlignment="1">
      <x:alignment wrapText="1"/>
    </x:xf>
    <x:xf numFmtId="0" fontId="8" fillId="8" borderId="28" xfId="0" applyNumberFormat="1" applyFont="1" applyFill="1" applyBorder="1" applyAlignment="1">
      <x:alignment wrapText="1"/>
    </x:xf>
    <x:xf numFmtId="0" fontId="8" fillId="8" borderId="21" xfId="0" applyNumberFormat="1" applyFont="1" applyFill="1" applyBorder="1" applyAlignment="1">
      <x:alignment wrapText="1"/>
    </x:xf>
    <x:xf numFmtId="0" fontId="8" fillId="8" borderId="29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wrapText="1"/>
    </x:xf>
    <x:xf numFmtId="0" fontId="8" fillId="8" borderId="30" xfId="0" applyNumberFormat="1" applyFont="1" applyFill="1" applyBorder="1" applyAlignment="1">
      <x:alignment wrapText="1"/>
    </x:xf>
    <x:xf numFmtId="0" fontId="8" fillId="8" borderId="22" xfId="0" applyNumberFormat="1" applyFont="1" applyFill="1" applyBorder="1" applyAlignment="1">
      <x:alignment wrapText="1"/>
    </x:xf>
    <x:xf numFmtId="0" fontId="8" fillId="8" borderId="31" xfId="0" applyNumberFormat="1" applyFont="1" applyFill="1" applyBorder="1" applyAlignment="1">
      <x:alignment wrapText="1"/>
    </x:xf>
    <x:xf numFmtId="0" fontId="8" fillId="8" borderId="23" xfId="0" applyNumberFormat="1" applyFont="1" applyFill="1" applyBorder="1" applyAlignment="1">
      <x:alignment wrapText="1"/>
    </x:xf>
    <x:xf numFmtId="0" fontId="8" fillId="8" borderId="20" xfId="0" applyNumberFormat="1" applyFont="1" applyFill="1" applyBorder="1" applyAlignment="1">
      <x:alignment vertical="center" wrapText="1"/>
    </x:xf>
    <x:xf numFmtId="0" fontId="8" fillId="8" borderId="28" xfId="0" applyNumberFormat="1" applyFont="1" applyFill="1" applyBorder="1" applyAlignment="1">
      <x:alignment vertical="center" wrapText="1"/>
    </x:xf>
    <x:xf numFmtId="0" fontId="8" fillId="8" borderId="21" xfId="0" applyNumberFormat="1" applyFont="1" applyFill="1" applyBorder="1" applyAlignment="1">
      <x:alignment vertical="center" wrapText="1"/>
    </x:xf>
    <x:xf numFmtId="0" fontId="8" fillId="8" borderId="29" xfId="0" applyNumberFormat="1" applyFont="1" applyFill="1" applyBorder="1" applyAlignment="1">
      <x:alignment vertical="center" wrapText="1"/>
    </x:xf>
    <x:xf numFmtId="0" fontId="8" fillId="8" borderId="1" xfId="0" applyNumberFormat="1" applyFont="1" applyFill="1" applyBorder="1" applyAlignment="1">
      <x:alignment vertical="center" wrapText="1"/>
    </x:xf>
    <x:xf numFmtId="0" fontId="8" fillId="8" borderId="30" xfId="0" applyNumberFormat="1" applyFont="1" applyFill="1" applyBorder="1" applyAlignment="1">
      <x:alignment vertical="center" wrapText="1"/>
    </x:xf>
    <x:xf numFmtId="0" fontId="8" fillId="8" borderId="22" xfId="0" applyNumberFormat="1" applyFont="1" applyFill="1" applyBorder="1" applyAlignment="1">
      <x:alignment vertical="center" wrapText="1"/>
    </x:xf>
    <x:xf numFmtId="0" fontId="8" fillId="8" borderId="31" xfId="0" applyNumberFormat="1" applyFont="1" applyFill="1" applyBorder="1" applyAlignment="1">
      <x:alignment vertical="center" wrapText="1"/>
    </x:xf>
    <x:xf numFmtId="0" fontId="8" fillId="8" borderId="2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a6a1151db944d5" /><Relationship Type="http://schemas.openxmlformats.org/officeDocument/2006/relationships/theme" Target="/xl/theme/theme1.xml" Id="R03d302ab354d46b5" /><Relationship Type="http://schemas.openxmlformats.org/officeDocument/2006/relationships/sharedStrings" Target="/xl/sharedStrings.xml" Id="R981d9f3afa2047b8" /><Relationship Type="http://schemas.openxmlformats.org/officeDocument/2006/relationships/worksheet" Target="/xl/worksheets/sheet1.xml" Id="R5a73360596554f0b" /><Relationship Type="http://schemas.openxmlformats.org/officeDocument/2006/relationships/worksheet" Target="/xl/worksheets/sheet2.xml" Id="R2f888af545494729" /><Relationship Type="http://schemas.openxmlformats.org/officeDocument/2006/relationships/worksheet" Target="/xl/worksheets/sheet3.xml" Id="Rf96142af2e254dc4" /><Relationship Type="http://schemas.openxmlformats.org/officeDocument/2006/relationships/worksheet" Target="/xl/worksheets/sheet4.xml" Id="R6a39331d13554fad" /><Relationship Type="http://schemas.openxmlformats.org/officeDocument/2006/relationships/worksheet" Target="/xl/worksheets/sheet5.xml" Id="R6b5af4b6237d49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8" hidden="0" customWidth="1"/>
    <x:col min="3" max="3" width="12" hidden="0" customWidth="1"/>
    <x:col min="4" max="4" width="10" hidden="0" customWidth="1"/>
    <x:col min="5" max="5" width="15" hidden="0" customWidth="1"/>
    <x:col min="6" max="6" width="14" hidden="0" customWidth="1"/>
    <x:col min="7" max="7" width="13" hidden="0" customWidth="1"/>
    <x:col min="8" max="8" width="3" hidden="0" customWidth="1"/>
    <x:col min="9" max="9" width="26" hidden="0" customWidth="1"/>
    <x:col min="10" max="10" width="18" hidden="0" customWidth="1"/>
  </x:cols>
  <x:sheetData>
    <x:row r="1" ht="34" customHeight="1">
      <x:c r="A1" s="280" t="str">
        <x:v>ГЛАВНЫЙ РАЗДЕЛ РАБОЧЕЙ ПРОГРАММЫ ДИСЦИПЛИНЫ</x:v>
      </x:c>
      <x:c r="B1" s="280"/>
      <x:c r="C1" s="280"/>
      <x:c r="D1" s="280"/>
      <x:c r="E1" s="280"/>
      <x:c r="F1" s="280"/>
      <x:c r="G1" s="280"/>
      <x:c r="H1" s="281"/>
      <x:c r="I1" s="280" t="str">
        <x:v>КОНТРОЛЬНЫЕ СУММЫ</x:v>
      </x:c>
      <x:c r="J1" s="280"/>
    </x:row>
    <x:row r="2" ht="30" customHeight="1">
      <x:c r="A2" s="282" t="str">
        <x:v>Дисциплина: «Вероятностно-статистические основы машинного обучения»</x:v>
      </x:c>
      <x:c r="B2" s="282"/>
      <x:c r="C2" s="282"/>
      <x:c r="D2" s="282"/>
      <x:c r="E2" s="282"/>
      <x:c r="F2" s="282"/>
      <x:c r="G2" s="282"/>
      <x:c r="H2" s="281"/>
      <x:c r="I2" s="283" t="str">
        <x:v>Лекции, а.ч.</x:v>
      </x:c>
      <x:c r="J2" s="284" t="n">
        <x:f>SUMIF(C6:C44,"Л",D6:D44)</x:f>
        <x:v>32</x:v>
      </x:c>
    </x:row>
    <x:row r="3" ht="38" customHeight="1">
      <x:c r="A3" s="285" t="str">
        <x:v>1 семестр · 4 з.е. / 144 ч. · контактная работа: 64 а.ч. (32 ч. лекций + 32 ч. практических занятий) · самостоятельная работа: 80 ч. · промежуточная аттестация: экзамен с защитой интеграционного проекта</x:v>
      </x:c>
      <x:c r="B3" s="285"/>
      <x:c r="C3" s="285"/>
      <x:c r="D3" s="285"/>
      <x:c r="E3" s="285"/>
      <x:c r="F3" s="285"/>
      <x:c r="G3" s="285"/>
      <x:c r="H3" s="281"/>
      <x:c r="I3" s="286" t="str">
        <x:v>Практические, а.ч.</x:v>
      </x:c>
      <x:c r="J3" s="287" t="n">
        <x:f>SUMIF(C6:C44,"П",D6:D44)</x:f>
        <x:v>32</x:v>
      </x:c>
    </x:row>
    <x:row r="4" ht="30" customHeight="1">
      <x:c r="A4" s="288" t="str">
        <x:v>Структура и результаты представлены в логике КРМ: каждый элемент дисциплины связан с компетенцией, индикатором и уровнем освоения.</x:v>
      </x:c>
      <x:c r="B4" s="288"/>
      <x:c r="C4" s="288"/>
      <x:c r="D4" s="288"/>
      <x:c r="E4" s="288"/>
      <x:c r="F4" s="288"/>
      <x:c r="G4" s="288"/>
      <x:c r="H4" s="281"/>
      <x:c r="I4" s="286" t="str">
        <x:v>Контактная работа, а.ч.</x:v>
      </x:c>
      <x:c r="J4" s="287" t="n">
        <x:f>J2+J3</x:f>
        <x:v>64</x:v>
      </x:c>
    </x:row>
    <x:row r="5" ht="42" customHeight="1">
      <x:c r="A5" s="289" t="str">
        <x:v>Элемент дисциплины</x:v>
      </x:c>
      <x:c r="B5" s="290" t="str">
        <x:v>Содержание
(тематические сущности)</x:v>
      </x:c>
      <x:c r="C5" s="290" t="str">
        <x:v>Форма
занятия</x:v>
      </x:c>
      <x:c r="D5" s="290" t="str">
        <x:v>Объем,
а.ч.</x:v>
      </x:c>
      <x:c r="E5" s="290" t="str">
        <x:v>Компетенция</x:v>
      </x:c>
      <x:c r="F5" s="290" t="str">
        <x:v>Индикатор</x:v>
      </x:c>
      <x:c r="G5" s="291" t="str">
        <x:v>Уровень</x:v>
      </x:c>
      <x:c r="H5" s="281"/>
      <x:c r="I5" s="286" t="str">
        <x:v>Самостоятельная работа, ч.</x:v>
      </x:c>
      <x:c r="J5" s="287" t="n">
        <x:v>80</x:v>
      </x:c>
    </x:row>
    <x:row r="6" ht="36" customHeight="1">
      <x:c r="A6" s="292" t="str">
        <x:v>Модуль 1. Вероятностная модель данных</x:v>
      </x:c>
      <x:c r="B6" s="293" t="str">
        <x:v>—</x:v>
      </x:c>
      <x:c r="C6" s="294" t="str">
        <x:v>—</x:v>
      </x:c>
      <x:c r="D6" s="294" t="n">
        <x:f>SUM(D7:D10)</x:f>
        <x:v>8</x:v>
      </x:c>
      <x:c r="E6" s="294" t="str">
        <x:v>MF-1</x:v>
      </x:c>
      <x:c r="F6" s="294" t="str">
        <x:v>1.2</x:v>
      </x:c>
      <x:c r="G6" s="295" t="str">
        <x:v>С</x:v>
      </x:c>
      <x:c r="H6" s="281"/>
      <x:c r="I6" s="286" t="str">
        <x:v>Общая трудоемкость, ч.</x:v>
      </x:c>
      <x:c r="J6" s="287" t="n">
        <x:f>J4+J5</x:f>
        <x:v>144</x:v>
      </x:c>
    </x:row>
    <x:row r="7" ht="72" customHeight="1">
      <x:c r="A7" s="296" t="str">
        <x:v>Занятие 1.1. Вероятностное пространство и условная вероятность</x:v>
      </x:c>
      <x:c r="B7" s="297" t="str">
        <x:v>Элементарные исходы и события; σ-алгебра; вероятностная мера; условная вероятность; независимость; формулы полной вероятности; вероятностная модель механизма генерации данных.</x:v>
      </x:c>
      <x:c r="C7" s="298" t="str">
        <x:v>Л</x:v>
      </x:c>
      <x:c r="D7" s="298" t="n">
        <x:v>2</x:v>
      </x:c>
      <x:c r="E7" s="298" t="str">
        <x:v>MF-1</x:v>
      </x:c>
      <x:c r="F7" s="298" t="str">
        <x:v>1.2</x:v>
      </x:c>
      <x:c r="G7" s="299" t="str">
        <x:v>Б</x:v>
      </x:c>
      <x:c r="H7" s="281"/>
      <x:c r="I7" s="286" t="str">
        <x:v>Число учебных занятий</x:v>
      </x:c>
      <x:c r="J7" s="287" t="n">
        <x:f>J4/2</x:f>
        <x:v>32</x:v>
      </x:c>
    </x:row>
    <x:row r="8" ht="72" customHeight="1">
      <x:c r="A8" s="296" t="str">
        <x:v>Занятие 1.2. Случайные величины и распределения</x:v>
      </x:c>
      <x:c r="B8" s="300" t="str">
        <x:v>Дискретные и непрерывные случайные величины; функция распределения и плотность; математическое ожидание, дисперсия, ковариация; распределения Бернулли, биномиальное, Пуассона, нормальное и экспоненциальное.</x:v>
      </x:c>
      <x:c r="C8" s="301" t="str">
        <x:v>Л</x:v>
      </x:c>
      <x:c r="D8" s="301" t="n">
        <x:v>2</x:v>
      </x:c>
      <x:c r="E8" s="301" t="str">
        <x:v>MF-1</x:v>
      </x:c>
      <x:c r="F8" s="301" t="str">
        <x:v>1.2</x:v>
      </x:c>
      <x:c r="G8" s="302" t="str">
        <x:v>Б</x:v>
      </x:c>
      <x:c r="H8" s="281"/>
      <x:c r="I8" s="286" t="str">
        <x:v>Число модулей</x:v>
      </x:c>
      <x:c r="J8" s="287" t="n">
        <x:v>7</x:v>
      </x:c>
    </x:row>
    <x:row r="9" ht="72" customHeight="1">
      <x:c r="A9" s="296" t="str">
        <x:v>Занятие 1.3. Многомерные распределения и статистические зависимости</x:v>
      </x:c>
      <x:c r="B9" s="297" t="str">
        <x:v>Совместные, маргинальные и условные распределения; ковариационная матрица; корреляция; условное математическое ожидание; моделирование зависимых случайных величин.</x:v>
      </x:c>
      <x:c r="C9" s="298" t="str">
        <x:v>П</x:v>
      </x:c>
      <x:c r="D9" s="298" t="n">
        <x:v>2</x:v>
      </x:c>
      <x:c r="E9" s="298" t="str">
        <x:v>MF-1</x:v>
      </x:c>
      <x:c r="F9" s="298" t="str">
        <x:v>1.2</x:v>
      </x:c>
      <x:c r="G9" s="299" t="str">
        <x:v>Б</x:v>
      </x:c>
      <x:c r="H9" s="281"/>
      <x:c r="I9" s="303" t="str">
        <x:v>Форма аттестации</x:v>
      </x:c>
      <x:c r="J9" s="304" t="str">
        <x:v>Экзамен + проект</x:v>
      </x:c>
    </x:row>
    <x:row r="10" ht="72" customHeight="1">
      <x:c r="A10" s="296" t="str">
        <x:v>Занятие 1.4. Предельные теоремы, Монте-Карло и информационные меры</x:v>
      </x:c>
      <x:c r="B10" s="300" t="str">
        <x:v>Закон больших чисел и центральная предельная теорема; моделирование Монте-Карло; энтропия, перекрестная энтропия, KL-дивергенция и взаимная информация; связь с функциями потерь.</x:v>
      </x:c>
      <x:c r="C10" s="301" t="str">
        <x:v>П</x:v>
      </x:c>
      <x:c r="D10" s="301" t="n">
        <x:v>2</x:v>
      </x:c>
      <x:c r="E10" s="301" t="str">
        <x:v>MF-1</x:v>
      </x:c>
      <x:c r="F10" s="301" t="str">
        <x:v>1.2</x:v>
      </x:c>
      <x:c r="G10" s="302" t="str">
        <x:v>С</x:v>
      </x:c>
      <x:c r="H10" s="281"/>
      <x:c r="I10" s="281"/>
      <x:c r="J10" s="281"/>
    </x:row>
    <x:row r="11" ht="36" customHeight="1">
      <x:c r="A11" s="292" t="str">
        <x:v>Модуль 2. Выборка, разведочный и непараметрический анализ данных</x:v>
      </x:c>
      <x:c r="B11" s="293" t="str">
        <x:v>—</x:v>
      </x:c>
      <x:c r="C11" s="294" t="str">
        <x:v>—</x:v>
      </x:c>
      <x:c r="D11" s="294" t="n">
        <x:f>SUM(D12:D15)</x:f>
        <x:v>8</x:v>
      </x:c>
      <x:c r="E11" s="294" t="str">
        <x:v>MF-1; MF-4</x:v>
      </x:c>
      <x:c r="F11" s="294" t="str">
        <x:v>1.2; 4.1</x:v>
      </x:c>
      <x:c r="G11" s="295" t="str">
        <x:v>С; С</x:v>
      </x:c>
      <x:c r="H11" s="281"/>
      <x:c r="I11" s="281"/>
      <x:c r="J11" s="281"/>
    </x:row>
    <x:row r="12" ht="72" customHeight="1">
      <x:c r="A12" s="296" t="str">
        <x:v>Занятие 2.1. Выборка, эмпирическое распределение и описательная статистика</x:v>
      </x:c>
      <x:c r="B12" s="300" t="str">
        <x:v>Генеральная совокупность и выборка; репрезентативность; смещение отбора; эмпирическая функция распределения; меры положения, разброса, асимметрии и формы распределения.</x:v>
      </x:c>
      <x:c r="C12" s="301" t="str">
        <x:v>Л</x:v>
      </x:c>
      <x:c r="D12" s="301" t="n">
        <x:v>2</x:v>
      </x:c>
      <x:c r="E12" s="301" t="str">
        <x:v>MF-1</x:v>
      </x:c>
      <x:c r="F12" s="301" t="str">
        <x:v>1.2</x:v>
      </x:c>
      <x:c r="G12" s="302" t="str">
        <x:v>Б</x:v>
      </x:c>
      <x:c r="H12" s="281"/>
      <x:c r="I12" s="281"/>
      <x:c r="J12" s="281"/>
    </x:row>
    <x:row r="13" ht="72" customHeight="1">
      <x:c r="A13" s="296" t="str">
        <x:v>Занятие 2.2. Робастная статистика, выбросы и пропуски</x:v>
      </x:c>
      <x:c r="B13" s="297" t="str">
        <x:v>Медиана, квантили, усеченные средние, MAD; устойчивость оценок; методы обнаружения выбросов; механизмы пропусков MCAR, MAR и MNAR; влияние предобработки на статистический вывод.</x:v>
      </x:c>
      <x:c r="C13" s="298" t="str">
        <x:v>П</x:v>
      </x:c>
      <x:c r="D13" s="298" t="n">
        <x:v>2</x:v>
      </x:c>
      <x:c r="E13" s="298" t="str">
        <x:v>MF-4</x:v>
      </x:c>
      <x:c r="F13" s="298" t="str">
        <x:v>4.1</x:v>
      </x:c>
      <x:c r="G13" s="299" t="str">
        <x:v>Б</x:v>
      </x:c>
      <x:c r="H13" s="281"/>
      <x:c r="I13" s="281"/>
      <x:c r="J13" s="281"/>
    </x:row>
    <x:row r="14" ht="72" customHeight="1">
      <x:c r="A14" s="296" t="str">
        <x:v>Занятие 2.3. Оценка статистических зависимостей</x:v>
      </x:c>
      <x:c r="B14" s="300" t="str">
        <x:v>Ковариация; корреляции Пирсона, Спирмена и Кендалла; частная корреляция; нелинейные и ложные зависимости; взаимная информация; ограничения причинной интерпретации.</x:v>
      </x:c>
      <x:c r="C14" s="301" t="str">
        <x:v>Л</x:v>
      </x:c>
      <x:c r="D14" s="301" t="n">
        <x:v>2</x:v>
      </x:c>
      <x:c r="E14" s="301" t="str">
        <x:v>MF-1</x:v>
      </x:c>
      <x:c r="F14" s="301" t="str">
        <x:v>1.2</x:v>
      </x:c>
      <x:c r="G14" s="302" t="str">
        <x:v>С</x:v>
      </x:c>
      <x:c r="H14" s="281"/>
      <x:c r="I14" s="281"/>
      <x:c r="J14" s="281"/>
    </x:row>
    <x:row r="15" ht="72" customHeight="1">
      <x:c r="A15" s="296" t="str">
        <x:v>Занятие 2.4. Непараметрические оценки и воспроизводимый EDA</x:v>
      </x:c>
      <x:c r="B15" s="297" t="str">
        <x:v>Ядерная оценка плотности; эмпирические и ранговые методы; визуальная диагностика распределений и зависимостей; подготовка воспроизводимого EDA-отчета и паспорта данных.</x:v>
      </x:c>
      <x:c r="C15" s="298" t="str">
        <x:v>П</x:v>
      </x:c>
      <x:c r="D15" s="298" t="n">
        <x:v>2</x:v>
      </x:c>
      <x:c r="E15" s="298" t="str">
        <x:v>MF-4</x:v>
      </x:c>
      <x:c r="F15" s="298" t="str">
        <x:v>4.1</x:v>
      </x:c>
      <x:c r="G15" s="299" t="str">
        <x:v>С</x:v>
      </x:c>
      <x:c r="H15" s="281"/>
      <x:c r="I15" s="281"/>
      <x:c r="J15" s="281"/>
    </x:row>
    <x:row r="16" ht="36" customHeight="1">
      <x:c r="A16" s="292" t="str">
        <x:v>Модуль 3. Статистическое оценивание и анализ неопределенности</x:v>
      </x:c>
      <x:c r="B16" s="293" t="str">
        <x:v>—</x:v>
      </x:c>
      <x:c r="C16" s="294" t="str">
        <x:v>—</x:v>
      </x:c>
      <x:c r="D16" s="294" t="n">
        <x:f>SUM(D17:D21)</x:f>
        <x:v>10</x:v>
      </x:c>
      <x:c r="E16" s="294" t="str">
        <x:v>MF-1</x:v>
      </x:c>
      <x:c r="F16" s="294" t="str">
        <x:v>1.2</x:v>
      </x:c>
      <x:c r="G16" s="295" t="str">
        <x:v>С</x:v>
      </x:c>
      <x:c r="H16" s="281"/>
      <x:c r="I16" s="281"/>
      <x:c r="J16" s="281"/>
    </x:row>
    <x:row r="17" ht="72" customHeight="1">
      <x:c r="A17" s="296" t="str">
        <x:v>Занятие 3.1. Точечные оценки и их свойства</x:v>
      </x:c>
      <x:c r="B17" s="297" t="str">
        <x:v>Статистика и оценка; смещение, состоятельность, эффективность и среднеквадратическая ошибка; достаточность; метод моментов; влияние объема выборки.</x:v>
      </x:c>
      <x:c r="C17" s="298" t="str">
        <x:v>Л</x:v>
      </x:c>
      <x:c r="D17" s="298" t="n">
        <x:v>2</x:v>
      </x:c>
      <x:c r="E17" s="298" t="str">
        <x:v>MF-1</x:v>
      </x:c>
      <x:c r="F17" s="298" t="str">
        <x:v>1.2</x:v>
      </x:c>
      <x:c r="G17" s="299" t="str">
        <x:v>Б</x:v>
      </x:c>
      <x:c r="H17" s="281"/>
      <x:c r="I17" s="281"/>
      <x:c r="J17" s="281"/>
    </x:row>
    <x:row r="18" ht="72" customHeight="1">
      <x:c r="A18" s="296" t="str">
        <x:v>Занятие 3.2. Правдоподобие, MLE и информация Фишера</x:v>
      </x:c>
      <x:c r="B18" s="300" t="str">
        <x:v>Функция правдоподобия; метод максимального правдоподобия; инвариантность и асимптотические свойства MLE; информация Фишера; неравенство Крамера—Рао.</x:v>
      </x:c>
      <x:c r="C18" s="301" t="str">
        <x:v>Л</x:v>
      </x:c>
      <x:c r="D18" s="301" t="n">
        <x:v>2</x:v>
      </x:c>
      <x:c r="E18" s="301" t="str">
        <x:v>MF-1</x:v>
      </x:c>
      <x:c r="F18" s="301" t="str">
        <x:v>1.2</x:v>
      </x:c>
      <x:c r="G18" s="302" t="str">
        <x:v>С</x:v>
      </x:c>
      <x:c r="H18" s="281"/>
      <x:c r="I18" s="281"/>
      <x:c r="J18" s="281"/>
    </x:row>
    <x:row r="19" ht="72" customHeight="1">
      <x:c r="A19" s="296" t="str">
        <x:v>Занятие 3.3. Выборочные распределения и доверительные интервалы</x:v>
      </x:c>
      <x:c r="B19" s="297" t="str">
        <x:v>Стандартная ошибка; распределения статистик; доверительные интервалы для средних, долей, дисперсий и коэффициентов моделей; корректная интерпретация уровня доверия.</x:v>
      </x:c>
      <x:c r="C19" s="298" t="str">
        <x:v>Л</x:v>
      </x:c>
      <x:c r="D19" s="298" t="n">
        <x:v>2</x:v>
      </x:c>
      <x:c r="E19" s="298" t="str">
        <x:v>MF-1</x:v>
      </x:c>
      <x:c r="F19" s="298" t="str">
        <x:v>1.2</x:v>
      </x:c>
      <x:c r="G19" s="299" t="str">
        <x:v>С</x:v>
      </x:c>
      <x:c r="H19" s="281"/>
      <x:c r="I19" s="281"/>
      <x:c r="J19" s="281"/>
    </x:row>
    <x:row r="20" ht="72" customHeight="1">
      <x:c r="A20" s="296" t="str">
        <x:v>Занятие 3.4. Бутстреп, джекнайф и повторная выборка</x:v>
      </x:c>
      <x:c r="B20" s="300" t="str">
        <x:v>Параметрический и непараметрический бутстреп; процентильные и скорректированные интервалы; джекнайф; оценка смещения и дисперсии статистик.</x:v>
      </x:c>
      <x:c r="C20" s="301" t="str">
        <x:v>П</x:v>
      </x:c>
      <x:c r="D20" s="301" t="n">
        <x:v>2</x:v>
      </x:c>
      <x:c r="E20" s="301" t="str">
        <x:v>MF-1</x:v>
      </x:c>
      <x:c r="F20" s="301" t="str">
        <x:v>1.2</x:v>
      </x:c>
      <x:c r="G20" s="302" t="str">
        <x:v>С</x:v>
      </x:c>
      <x:c r="H20" s="281"/>
      <x:c r="I20" s="281"/>
      <x:c r="J20" s="281"/>
    </x:row>
    <x:row r="21" ht="72" customHeight="1">
      <x:c r="A21" s="296" t="str">
        <x:v>Занятие 3.5. Вычислительное сравнение статистических оценок</x:v>
      </x:c>
      <x:c r="B21" s="297" t="str">
        <x:v>Имитационный эксперимент: сравнение метода моментов, MLE и робастных оценок при разных объемах выборки, формах распределения и наличии загрязнения; анализ покрытия интервалов.</x:v>
      </x:c>
      <x:c r="C21" s="298" t="str">
        <x:v>П</x:v>
      </x:c>
      <x:c r="D21" s="298" t="n">
        <x:v>2</x:v>
      </x:c>
      <x:c r="E21" s="298" t="str">
        <x:v>MF-1</x:v>
      </x:c>
      <x:c r="F21" s="298" t="str">
        <x:v>1.2</x:v>
      </x:c>
      <x:c r="G21" s="299" t="str">
        <x:v>С</x:v>
      </x:c>
      <x:c r="H21" s="281"/>
      <x:c r="I21" s="281"/>
      <x:c r="J21" s="281"/>
    </x:row>
    <x:row r="22" ht="36" customHeight="1">
      <x:c r="A22" s="292" t="str">
        <x:v>Модуль 4. Проверка гипотез и планирование экспериментов</x:v>
      </x:c>
      <x:c r="B22" s="293" t="str">
        <x:v>—</x:v>
      </x:c>
      <x:c r="C22" s="294" t="str">
        <x:v>—</x:v>
      </x:c>
      <x:c r="D22" s="294" t="n">
        <x:f>SUM(D23:D27)</x:f>
        <x:v>10</x:v>
      </x:c>
      <x:c r="E22" s="294" t="str">
        <x:v>MF-1; MF-4</x:v>
      </x:c>
      <x:c r="F22" s="294" t="str">
        <x:v>1.3; 4.3</x:v>
      </x:c>
      <x:c r="G22" s="295" t="str">
        <x:v>С; С</x:v>
      </x:c>
      <x:c r="H22" s="281"/>
      <x:c r="I22" s="281"/>
      <x:c r="J22" s="281"/>
    </x:row>
    <x:row r="23" ht="72" customHeight="1">
      <x:c r="A23" s="296" t="str">
        <x:v>Занятие 4.1. Логика проверки статистических гипотез</x:v>
      </x:c>
      <x:c r="B23" s="297" t="str">
        <x:v>Нулевая и альтернативная гипотезы; статистика критерия; критическая область; ошибки первого и второго рода; p-value; статистическая мощность; статистическая и практическая значимость.</x:v>
      </x:c>
      <x:c r="C23" s="298" t="str">
        <x:v>Л</x:v>
      </x:c>
      <x:c r="D23" s="298" t="n">
        <x:v>2</x:v>
      </x:c>
      <x:c r="E23" s="298" t="str">
        <x:v>MF-1</x:v>
      </x:c>
      <x:c r="F23" s="298" t="str">
        <x:v>1.3</x:v>
      </x:c>
      <x:c r="G23" s="299" t="str">
        <x:v>Б</x:v>
      </x:c>
      <x:c r="H23" s="281"/>
      <x:c r="I23" s="281"/>
      <x:c r="J23" s="281"/>
    </x:row>
    <x:row r="24" ht="72" customHeight="1">
      <x:c r="A24" s="296" t="str">
        <x:v>Занятие 4.2. Параметрические критерии</x:v>
      </x:c>
      <x:c r="B24" s="300" t="str">
        <x:v>Проверка гипотез о средних, долях и дисперсиях; парные и независимые выборки; t-, z- и χ²-критерии; критерии согласия и независимости; проверка предпосылок.</x:v>
      </x:c>
      <x:c r="C24" s="301" t="str">
        <x:v>П</x:v>
      </x:c>
      <x:c r="D24" s="301" t="n">
        <x:v>2</x:v>
      </x:c>
      <x:c r="E24" s="301" t="str">
        <x:v>MF-1</x:v>
      </x:c>
      <x:c r="F24" s="301" t="str">
        <x:v>1.3</x:v>
      </x:c>
      <x:c r="G24" s="302" t="str">
        <x:v>Б</x:v>
      </x:c>
      <x:c r="H24" s="281"/>
      <x:c r="I24" s="281"/>
      <x:c r="J24" s="281"/>
    </x:row>
    <x:row r="25" ht="72" customHeight="1">
      <x:c r="A25" s="296" t="str">
        <x:v>Занятие 4.3. Непараметрические и перестановочные критерии</x:v>
      </x:c>
      <x:c r="B25" s="297" t="str">
        <x:v>Знаковые и ранговые критерии; критерии Манна—Уитни, Вилкоксона и Краскела—Уоллиса; перестановочные тесты; выбор критерия с учетом шкалы и структуры данных.</x:v>
      </x:c>
      <x:c r="C25" s="298" t="str">
        <x:v>П</x:v>
      </x:c>
      <x:c r="D25" s="298" t="n">
        <x:v>2</x:v>
      </x:c>
      <x:c r="E25" s="298" t="str">
        <x:v>MF-1</x:v>
      </x:c>
      <x:c r="F25" s="298" t="str">
        <x:v>1.3</x:v>
      </x:c>
      <x:c r="G25" s="299" t="str">
        <x:v>С</x:v>
      </x:c>
      <x:c r="H25" s="281"/>
      <x:c r="I25" s="281"/>
      <x:c r="J25" s="281"/>
    </x:row>
    <x:row r="26" ht="72" customHeight="1">
      <x:c r="A26" s="296" t="str">
        <x:v>Занятие 4.4. Размер эффекта, мощность и множественные проверки</x:v>
      </x:c>
      <x:c r="B26" s="300" t="str">
        <x:v>Размер эффекта; расчет требуемого объема выборки; множественное тестирование; поправки Бонферрони и Холма; контроль ложных открытий; интерпретация отрицательного результата.</x:v>
      </x:c>
      <x:c r="C26" s="301" t="str">
        <x:v>Л</x:v>
      </x:c>
      <x:c r="D26" s="301" t="n">
        <x:v>2</x:v>
      </x:c>
      <x:c r="E26" s="301" t="str">
        <x:v>MF-1</x:v>
      </x:c>
      <x:c r="F26" s="301" t="str">
        <x:v>1.3</x:v>
      </x:c>
      <x:c r="G26" s="302" t="str">
        <x:v>С</x:v>
      </x:c>
      <x:c r="H26" s="281"/>
      <x:c r="I26" s="281"/>
      <x:c r="J26" s="281"/>
    </x:row>
    <x:row r="27" ht="72" customHeight="1">
      <x:c r="A27" s="296" t="str">
        <x:v>Занятие 4.5. Проектирование и анализ A/B-эксперимента</x:v>
      </x:c>
      <x:c r="B27" s="297" t="str">
        <x:v>Выбор основной и защитных метрик; рандомизация, стратификация и контроль смешивающих факторов; расчет мощности; анализ результатов; протокол воспроизводимого эксперимента.</x:v>
      </x:c>
      <x:c r="C27" s="298" t="str">
        <x:v>П</x:v>
      </x:c>
      <x:c r="D27" s="298" t="n">
        <x:v>2</x:v>
      </x:c>
      <x:c r="E27" s="298" t="str">
        <x:v>MF-4</x:v>
      </x:c>
      <x:c r="F27" s="298" t="str">
        <x:v>4.3</x:v>
      </x:c>
      <x:c r="G27" s="299" t="str">
        <x:v>С</x:v>
      </x:c>
      <x:c r="H27" s="281"/>
      <x:c r="I27" s="281"/>
      <x:c r="J27" s="281"/>
    </x:row>
    <x:row r="28" ht="36" customHeight="1">
      <x:c r="A28" s="292" t="str">
        <x:v>Модуль 5. Байесовский статистический вывод</x:v>
      </x:c>
      <x:c r="B28" s="293" t="str">
        <x:v>—</x:v>
      </x:c>
      <x:c r="C28" s="294" t="str">
        <x:v>—</x:v>
      </x:c>
      <x:c r="D28" s="294" t="n">
        <x:f>SUM(D29:D32)</x:f>
        <x:v>8</x:v>
      </x:c>
      <x:c r="E28" s="294" t="str">
        <x:v>MF-2</x:v>
      </x:c>
      <x:c r="F28" s="294" t="str">
        <x:v>2.1; 2.2</x:v>
      </x:c>
      <x:c r="G28" s="295" t="str">
        <x:v>С; Б</x:v>
      </x:c>
      <x:c r="H28" s="281"/>
      <x:c r="I28" s="281"/>
      <x:c r="J28" s="281"/>
    </x:row>
    <x:row r="29" ht="72" customHeight="1">
      <x:c r="A29" s="296" t="str">
        <x:v>Занятие 5.1. Теорема Байеса, априорное и апостериорное распределения</x:v>
      </x:c>
      <x:c r="B29" s="297" t="str">
        <x:v>Теорема Байеса и ее следствия; байесовская вероятность; априорное, правдоподобие и апостериорное распределения; сопряженные модели; отличие от частотной интерпретации.</x:v>
      </x:c>
      <x:c r="C29" s="298" t="str">
        <x:v>Л</x:v>
      </x:c>
      <x:c r="D29" s="298" t="n">
        <x:v>2</x:v>
      </x:c>
      <x:c r="E29" s="298" t="str">
        <x:v>MF-2</x:v>
      </x:c>
      <x:c r="F29" s="298" t="str">
        <x:v>2.1</x:v>
      </x:c>
      <x:c r="G29" s="299" t="str">
        <x:v>Б</x:v>
      </x:c>
      <x:c r="H29" s="281"/>
      <x:c r="I29" s="281"/>
      <x:c r="J29" s="281"/>
    </x:row>
    <x:row r="30" ht="72" customHeight="1">
      <x:c r="A30" s="296" t="str">
        <x:v>Занятие 5.2. MLE, MAP и регуляризация</x:v>
      </x:c>
      <x:c r="B30" s="300" t="str">
        <x:v>Сопоставление MLE и MAP; выбор априорного распределения; L1- и L2-регуляризация как вероятностные предположения; чувствительность к априорным данным.</x:v>
      </x:c>
      <x:c r="C30" s="301" t="str">
        <x:v>П</x:v>
      </x:c>
      <x:c r="D30" s="301" t="n">
        <x:v>2</x:v>
      </x:c>
      <x:c r="E30" s="301" t="str">
        <x:v>MF-2</x:v>
      </x:c>
      <x:c r="F30" s="301" t="str">
        <x:v>2.1</x:v>
      </x:c>
      <x:c r="G30" s="302" t="str">
        <x:v>С</x:v>
      </x:c>
      <x:c r="H30" s="281"/>
      <x:c r="I30" s="281"/>
      <x:c r="J30" s="281"/>
    </x:row>
    <x:row r="31" ht="72" customHeight="1">
      <x:c r="A31" s="296" t="str">
        <x:v>Занятие 5.3. Байесовские интервалы и предсказательная неопределенность</x:v>
      </x:c>
      <x:c r="B31" s="297" t="str">
        <x:v>Байесовские доверительные области; апостериорное предсказательное распределение; оценка неопределенности параметров и прогнозов; базовые байесовские тесты.</x:v>
      </x:c>
      <x:c r="C31" s="298" t="str">
        <x:v>Л</x:v>
      </x:c>
      <x:c r="D31" s="298" t="n">
        <x:v>2</x:v>
      </x:c>
      <x:c r="E31" s="298" t="str">
        <x:v>MF-2</x:v>
      </x:c>
      <x:c r="F31" s="298" t="str">
        <x:v>2.2</x:v>
      </x:c>
      <x:c r="G31" s="299" t="str">
        <x:v>Б</x:v>
      </x:c>
      <x:c r="H31" s="281"/>
      <x:c r="I31" s="281"/>
      <x:c r="J31" s="281"/>
    </x:row>
    <x:row r="32" ht="72" customHeight="1">
      <x:c r="A32" s="296" t="str">
        <x:v>Занятие 5.4. Байесовская модель для задачи машинного обучения</x:v>
      </x:c>
      <x:c r="B32" s="300" t="str">
        <x:v>Построение простой байесовской регрессионной или классификационной модели; апостериорный вывод; сравнение с частотной моделью; интерпретация неопределенности и ограничений.</x:v>
      </x:c>
      <x:c r="C32" s="301" t="str">
        <x:v>П</x:v>
      </x:c>
      <x:c r="D32" s="301" t="n">
        <x:v>2</x:v>
      </x:c>
      <x:c r="E32" s="301" t="str">
        <x:v>MF-2</x:v>
      </x:c>
      <x:c r="F32" s="301" t="str">
        <x:v>2.2</x:v>
      </x:c>
      <x:c r="G32" s="302" t="str">
        <x:v>Б</x:v>
      </x:c>
      <x:c r="H32" s="281"/>
      <x:c r="I32" s="281"/>
      <x:c r="J32" s="281"/>
    </x:row>
    <x:row r="33" ht="36" customHeight="1">
      <x:c r="A33" s="292" t="str">
        <x:v>Модуль 6. Статистические предсказательные модели</x:v>
      </x:c>
      <x:c r="B33" s="293" t="str">
        <x:v>—</x:v>
      </x:c>
      <x:c r="C33" s="294" t="str">
        <x:v>—</x:v>
      </x:c>
      <x:c r="D33" s="294" t="n">
        <x:f>SUM(D34:D38)</x:f>
        <x:v>10</x:v>
      </x:c>
      <x:c r="E33" s="294" t="str">
        <x:v>MF-4</x:v>
      </x:c>
      <x:c r="F33" s="294" t="str">
        <x:v>4.1; 4.2</x:v>
      </x:c>
      <x:c r="G33" s="295" t="str">
        <x:v>С; Б</x:v>
      </x:c>
      <x:c r="H33" s="281"/>
      <x:c r="I33" s="281"/>
      <x:c r="J33" s="281"/>
    </x:row>
    <x:row r="34" ht="72" customHeight="1">
      <x:c r="A34" s="296" t="str">
        <x:v>Занятие 6.1. Линейная регрессия как вероятностная модель</x:v>
      </x:c>
      <x:c r="B34" s="300" t="str">
        <x:v>Вероятностная постановка линейной регрессии; метод наименьших квадратов и MLE; предпосылки; интерпретация коэффициентов; доверительные и предсказательные интервалы.</x:v>
      </x:c>
      <x:c r="C34" s="301" t="str">
        <x:v>Л</x:v>
      </x:c>
      <x:c r="D34" s="301" t="n">
        <x:v>2</x:v>
      </x:c>
      <x:c r="E34" s="301" t="str">
        <x:v>MF-4</x:v>
      </x:c>
      <x:c r="F34" s="301" t="str">
        <x:v>4.1</x:v>
      </x:c>
      <x:c r="G34" s="302" t="str">
        <x:v>Б</x:v>
      </x:c>
      <x:c r="H34" s="281"/>
      <x:c r="I34" s="281"/>
      <x:c r="J34" s="281"/>
    </x:row>
    <x:row r="35" ht="72" customHeight="1">
      <x:c r="A35" s="296" t="str">
        <x:v>Занятие 6.2. Диагностика и робастность регрессионных моделей</x:v>
      </x:c>
      <x:c r="B35" s="297" t="str">
        <x:v>Анализ остатков; гетероскедастичность; мультиколлинеарность; влиятельные наблюдения; робастные стандартные ошибки; преобразования переменных; оценка адекватности модели.</x:v>
      </x:c>
      <x:c r="C35" s="298" t="str">
        <x:v>П</x:v>
      </x:c>
      <x:c r="D35" s="298" t="n">
        <x:v>2</x:v>
      </x:c>
      <x:c r="E35" s="298" t="str">
        <x:v>MF-4</x:v>
      </x:c>
      <x:c r="F35" s="298" t="str">
        <x:v>4.1</x:v>
      </x:c>
      <x:c r="G35" s="299" t="str">
        <x:v>С</x:v>
      </x:c>
      <x:c r="H35" s="281"/>
      <x:c r="I35" s="281"/>
      <x:c r="J35" s="281"/>
    </x:row>
    <x:row r="36" ht="72" customHeight="1">
      <x:c r="A36" s="296" t="str">
        <x:v>Занятие 6.3. Логистическая регрессия и обобщенные линейные модели</x:v>
      </x:c>
      <x:c r="B36" s="300" t="str">
        <x:v>Экспоненциальное семейство; функция связи; логистическая и пуассоновская регрессия; правдоподобие; отношение шансов; вероятностная интерпретация классификации.</x:v>
      </x:c>
      <x:c r="C36" s="301" t="str">
        <x:v>Л</x:v>
      </x:c>
      <x:c r="D36" s="301" t="n">
        <x:v>2</x:v>
      </x:c>
      <x:c r="E36" s="301" t="str">
        <x:v>MF-4</x:v>
      </x:c>
      <x:c r="F36" s="301" t="str">
        <x:v>4.1</x:v>
      </x:c>
      <x:c r="G36" s="302" t="str">
        <x:v>Б</x:v>
      </x:c>
      <x:c r="H36" s="281"/>
      <x:c r="I36" s="281"/>
      <x:c r="J36" s="281"/>
    </x:row>
    <x:row r="37" ht="72" customHeight="1">
      <x:c r="A37" s="296" t="str">
        <x:v>Занятие 6.4. Регуляризация, смещение–дисперсия и вероятностные прогнозы</x:v>
      </x:c>
      <x:c r="B37" s="297" t="str">
        <x:v>L1- и L2-регуляризация; отбор признаков; компромисс смещения и дисперсии; калибровка вероятностей; log loss и Brier score; интервальные прогнозы.</x:v>
      </x:c>
      <x:c r="C37" s="298" t="str">
        <x:v>Л</x:v>
      </x:c>
      <x:c r="D37" s="298" t="n">
        <x:v>2</x:v>
      </x:c>
      <x:c r="E37" s="298" t="str">
        <x:v>MF-4</x:v>
      </x:c>
      <x:c r="F37" s="298" t="str">
        <x:v>4.1</x:v>
      </x:c>
      <x:c r="G37" s="299" t="str">
        <x:v>С</x:v>
      </x:c>
      <x:c r="H37" s="281"/>
      <x:c r="I37" s="281"/>
      <x:c r="J37" s="281"/>
    </x:row>
    <x:row r="38" ht="72" customHeight="1">
      <x:c r="A38" s="296" t="str">
        <x:v>Занятие 6.5. Базовые вероятностные модели временных рядов</x:v>
      </x:c>
      <x:c r="B38" s="300" t="str">
        <x:v>Зависимые наблюдения; тренд, сезонность и стационарность; ACF и PACF; модели AR и скользящего среднего; наивный бейзлайн; временная валидация и предотвращение утечки будущего.</x:v>
      </x:c>
      <x:c r="C38" s="301" t="str">
        <x:v>П</x:v>
      </x:c>
      <x:c r="D38" s="301" t="n">
        <x:v>2</x:v>
      </x:c>
      <x:c r="E38" s="301" t="str">
        <x:v>MF-4</x:v>
      </x:c>
      <x:c r="F38" s="301" t="str">
        <x:v>4.2</x:v>
      </x:c>
      <x:c r="G38" s="302" t="str">
        <x:v>Б</x:v>
      </x:c>
      <x:c r="H38" s="281"/>
      <x:c r="I38" s="281"/>
      <x:c r="J38" s="281"/>
    </x:row>
    <x:row r="39" ht="36" customHeight="1">
      <x:c r="A39" s="292" t="str">
        <x:v>Модуль 7. Валидация и статистическое сравнение моделей машинного обучения</x:v>
      </x:c>
      <x:c r="B39" s="293" t="str">
        <x:v>—</x:v>
      </x:c>
      <x:c r="C39" s="294" t="str">
        <x:v>—</x:v>
      </x:c>
      <x:c r="D39" s="294" t="n">
        <x:f>SUM(D40:D44)</x:f>
        <x:v>10</x:v>
      </x:c>
      <x:c r="E39" s="294" t="str">
        <x:v>MF-4</x:v>
      </x:c>
      <x:c r="F39" s="294" t="str">
        <x:v>4.3</x:v>
      </x:c>
      <x:c r="G39" s="295" t="str">
        <x:v>С</x:v>
      </x:c>
      <x:c r="H39" s="281"/>
      <x:c r="I39" s="281"/>
      <x:c r="J39" s="281"/>
    </x:row>
    <x:row r="40" ht="72" customHeight="1">
      <x:c r="A40" s="296" t="str">
        <x:v>Занятие 7.1. Обобщающая способность и дизайн выборок</x:v>
      </x:c>
      <x:c r="B40" s="300" t="str">
        <x:v>Эмпирический и ожидаемый риск; переобучение и недообучение; кривые обучения; train/validation/test; требования к независимости тестовой выборки.</x:v>
      </x:c>
      <x:c r="C40" s="301" t="str">
        <x:v>Л</x:v>
      </x:c>
      <x:c r="D40" s="301" t="n">
        <x:v>2</x:v>
      </x:c>
      <x:c r="E40" s="301" t="str">
        <x:v>MF-4</x:v>
      </x:c>
      <x:c r="F40" s="301" t="str">
        <x:v>4.3</x:v>
      </x:c>
      <x:c r="G40" s="302" t="str">
        <x:v>Б</x:v>
      </x:c>
      <x:c r="H40" s="281"/>
      <x:c r="I40" s="281"/>
      <x:c r="J40" s="281"/>
    </x:row>
    <x:row r="41" ht="72" customHeight="1">
      <x:c r="A41" s="296" t="str">
        <x:v>Занятие 7.2. Кросс-валидация, nested CV и утечки данных</x:v>
      </x:c>
      <x:c r="B41" s="297" t="str">
        <x:v>k-fold, стратифицированная, групповая и временная кросс-валидация; nested CV; повторная валидация; утечки данных; статистически корректный ML-пайплайн.</x:v>
      </x:c>
      <x:c r="C41" s="298" t="str">
        <x:v>П</x:v>
      </x:c>
      <x:c r="D41" s="298" t="n">
        <x:v>2</x:v>
      </x:c>
      <x:c r="E41" s="298" t="str">
        <x:v>MF-4</x:v>
      </x:c>
      <x:c r="F41" s="298" t="str">
        <x:v>4.3</x:v>
      </x:c>
      <x:c r="G41" s="299" t="str">
        <x:v>С</x:v>
      </x:c>
      <x:c r="H41" s="281"/>
      <x:c r="I41" s="281"/>
      <x:c r="J41" s="281"/>
    </x:row>
    <x:row r="42" ht="72" customHeight="1">
      <x:c r="A42" s="296" t="str">
        <x:v>Занятие 7.3. Метрики качества и несбалансированные данные</x:v>
      </x:c>
      <x:c r="B42" s="300" t="str">
        <x:v>Метрики регрессии, классификации и кластеризации; матрица ошибок; ROC- и PR-кривые; выбор порога; дисбаланс классов; связь метрики с прикладной целью.</x:v>
      </x:c>
      <x:c r="C42" s="301" t="str">
        <x:v>Л</x:v>
      </x:c>
      <x:c r="D42" s="301" t="n">
        <x:v>2</x:v>
      </x:c>
      <x:c r="E42" s="301" t="str">
        <x:v>MF-4</x:v>
      </x:c>
      <x:c r="F42" s="301" t="str">
        <x:v>4.3</x:v>
      </x:c>
      <x:c r="G42" s="302" t="str">
        <x:v>Б</x:v>
      </x:c>
      <x:c r="H42" s="281"/>
      <x:c r="I42" s="281"/>
      <x:c r="J42" s="281"/>
    </x:row>
    <x:row r="43" ht="72" customHeight="1">
      <x:c r="A43" s="296" t="str">
        <x:v>Занятие 7.4. Неопределенность метрик и калибровка</x:v>
      </x:c>
      <x:c r="B43" s="297" t="str">
        <x:v>Доверительные интервалы для метрик; бутстреп и повторная кросс-валидация; калибровочные кривые; оценка надежности вероятностного прогноза; анализ устойчивости результата.</x:v>
      </x:c>
      <x:c r="C43" s="298" t="str">
        <x:v>П</x:v>
      </x:c>
      <x:c r="D43" s="298" t="n">
        <x:v>2</x:v>
      </x:c>
      <x:c r="E43" s="298" t="str">
        <x:v>MF-4</x:v>
      </x:c>
      <x:c r="F43" s="298" t="str">
        <x:v>4.3</x:v>
      </x:c>
      <x:c r="G43" s="299" t="str">
        <x:v>С</x:v>
      </x:c>
      <x:c r="H43" s="281"/>
      <x:c r="I43" s="281"/>
      <x:c r="J43" s="281"/>
    </x:row>
    <x:row r="44" ht="72" customHeight="1">
      <x:c r="A44" s="296" t="str">
        <x:v>Занятие 7.5. Статистическое сравнение моделей и воспроизводимость</x:v>
      </x:c>
      <x:c r="B44" s="300" t="str">
        <x:v>Парные тесты и критерий Макнемара; бутстреп-сравнение; множественное сравнение алгоритмов; AIC и BIC; протокол эксперимента; воспроизводимый отчет и подготовка защиты проекта.</x:v>
      </x:c>
      <x:c r="C44" s="301" t="str">
        <x:v>П</x:v>
      </x:c>
      <x:c r="D44" s="301" t="n">
        <x:v>2</x:v>
      </x:c>
      <x:c r="E44" s="301" t="str">
        <x:v>MF-4</x:v>
      </x:c>
      <x:c r="F44" s="301" t="str">
        <x:v>4.3</x:v>
      </x:c>
      <x:c r="G44" s="302" t="str">
        <x:v>С</x:v>
      </x:c>
      <x:c r="H44" s="281"/>
      <x:c r="I44" s="281"/>
      <x:c r="J44" s="281"/>
    </x:row>
    <x:row r="45" ht="82" customHeight="1">
      <x:c r="A45" s="305" t="str">
        <x:v>Промежуточная аттестация. Экзамен с защитой интеграционного проекта</x:v>
      </x:c>
      <x:c r="B45" s="306" t="str">
        <x:v>Комплексное задание: формализация вероятностной модели данных; статистический EDA; оценивание параметров и неопределенности; проверка гипотез; построение статистической предсказательной модели; корректная валидация; статистическое сравнение альтернатив; анализ ограничений и устная защита.</x:v>
      </x:c>
      <x:c r="C45" s="307" t="str">
        <x:v>Экзамен</x:v>
      </x:c>
      <x:c r="D45" s="307" t="str">
        <x:v>—</x:v>
      </x:c>
      <x:c r="E45" s="307" t="str">
        <x:v>MF-1; MF-2; MF-4</x:v>
      </x:c>
      <x:c r="F45" s="307" t="str">
        <x:v>1.2; 1.3; 2.1; 2.2; 4.1; 4.2; 4.3</x:v>
      </x:c>
      <x:c r="G45" s="308" t="str">
        <x:v>С; С; С; Б; С; Б; С</x:v>
      </x:c>
      <x:c r="H45" s="281"/>
      <x:c r="I45" s="281"/>
      <x:c r="J45" s="281"/>
    </x:row>
    <x:row r="46">
      <x:c r="A46" s="309" t="str">
        <x:v>ИТОГО КОНТАКТНАЯ РАБОТА</x:v>
      </x:c>
      <x:c r="B46" s="310"/>
      <x:c r="C46" s="311" t="str">
        <x:v>Л + П</x:v>
      </x:c>
      <x:c r="D46" s="311" t="n">
        <x:f>SUMIF(C6:C44,"Л",D6:D44)+SUMIF(C6:C44,"П",D6:D44)</x:f>
        <x:v>64</x:v>
      </x:c>
      <x:c r="E46" s="311"/>
      <x:c r="F46" s="311"/>
      <x:c r="G46" s="312"/>
      <x:c r="H46" s="281"/>
      <x:c r="I46" s="281"/>
      <x:c r="J46" s="281"/>
    </x:row>
    <x:row r="47">
      <x:c r="A47" s="313" t="str">
        <x:v>в том числе лекции</x:v>
      </x:c>
      <x:c r="B47" s="314"/>
      <x:c r="C47" s="315" t="str">
        <x:v>Л</x:v>
      </x:c>
      <x:c r="D47" s="315" t="n">
        <x:f>SUMIF(C6:C44,"Л",D6:D44)</x:f>
        <x:v>32</x:v>
      </x:c>
      <x:c r="E47" s="315"/>
      <x:c r="F47" s="315"/>
      <x:c r="G47" s="316"/>
      <x:c r="H47" s="281"/>
      <x:c r="I47" s="281"/>
      <x:c r="J47" s="281"/>
    </x:row>
    <x:row r="48">
      <x:c r="A48" s="313" t="str">
        <x:v>в том числе практические занятия</x:v>
      </x:c>
      <x:c r="B48" s="314"/>
      <x:c r="C48" s="315" t="str">
        <x:v>П</x:v>
      </x:c>
      <x:c r="D48" s="315" t="n">
        <x:f>SUMIF(C6:C44,"П",D6:D44)</x:f>
        <x:v>32</x:v>
      </x:c>
      <x:c r="E48" s="315"/>
      <x:c r="F48" s="315"/>
      <x:c r="G48" s="316"/>
      <x:c r="H48" s="281"/>
      <x:c r="I48" s="281"/>
      <x:c r="J48" s="281"/>
    </x:row>
  </x:sheetData>
  <x:mergeCells>
    <x:mergeCell ref="A1:G1"/>
    <x:mergeCell ref="A2:G2"/>
    <x:mergeCell ref="A3:G3"/>
    <x:mergeCell ref="A4:G4"/>
    <x:mergeCell ref="I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6" hidden="0" customWidth="1"/>
    <x:col min="3" max="3" width="14" hidden="0" customWidth="1"/>
    <x:col min="4" max="4" width="14" hidden="0" customWidth="1"/>
    <x:col min="5" max="5" width="15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5" t="str">
        <x:v>РАБОЧАЯ ПРОГРАММА ДИСЦИПЛИНЫ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4" t="str">
        <x:v>«Вероятностно-статистические основы машинного обучения»</x:v>
      </x:c>
      <x:c r="B2" s="14"/>
      <x:c r="C2" s="14"/>
      <x:c r="D2" s="14"/>
      <x:c r="E2" s="14"/>
      <x:c r="F2" s="14"/>
      <x:c r="G2" s="14"/>
      <x:c r="H2" s="14"/>
    </x:row>
    <x:row r="4">
      <x:c r="A4" s="48" t="str">
        <x:v>Семестр</x:v>
      </x:c>
      <x:c r="B4" s="50"/>
      <x:c r="C4" s="48" t="str">
        <x:v>Трудоемкость</x:v>
      </x:c>
      <x:c r="D4" s="50"/>
      <x:c r="E4" s="48" t="str">
        <x:v>Контактная работа</x:v>
      </x:c>
      <x:c r="F4" s="50"/>
      <x:c r="G4" s="48" t="str">
        <x:v>Аттестация</x:v>
      </x:c>
      <x:c r="H4" s="50"/>
    </x:row>
    <x:row r="5">
      <x:c r="A5" s="367" t="str">
        <x:v>1</x:v>
      </x:c>
      <x:c r="B5" s="368"/>
      <x:c r="C5" s="367" t="str">
        <x:v>4 з.е. / 144 ч.</x:v>
      </x:c>
      <x:c r="D5" s="368"/>
      <x:c r="E5" s="367" t="str">
        <x:v>64 а.ч.
32 Л + 32 П</x:v>
      </x:c>
      <x:c r="F5" s="368"/>
      <x:c r="G5" s="367" t="str">
        <x:v>Экзамен
+ проект</x:v>
      </x:c>
      <x:c r="H5" s="368"/>
    </x:row>
    <x:row r="6">
      <x:c r="A6" s="369"/>
      <x:c r="B6" s="370"/>
      <x:c r="C6" s="369"/>
      <x:c r="D6" s="370"/>
      <x:c r="E6" s="369"/>
      <x:c r="F6" s="370"/>
      <x:c r="G6" s="369"/>
      <x:c r="H6" s="370"/>
    </x:row>
    <x:row r="8">
      <x:c r="A8" s="390" t="str">
        <x:v>1. ЦЕЛЬ ДИСЦИПЛИНЫ</x:v>
      </x:c>
      <x:c r="B8" s="390"/>
      <x:c r="C8" s="390"/>
      <x:c r="D8" s="390"/>
      <x:c r="E8" s="390"/>
      <x:c r="F8" s="390"/>
      <x:c r="G8" s="390"/>
      <x:c r="H8" s="390"/>
    </x:row>
    <x:row r="9">
      <x:c r="A9" s="412" t="str">
        <x:v>Сформировать способность применять аппарат теории вероятностей, математической статистики и байесовского вывода для формализации задач машинного обучения, анализа данных и неопределенности, построения статистических предсказательных моделей, проектирования экспериментов, валидации и статистического сравнения алгоритмов.</x:v>
      </x:c>
      <x:c r="B9" s="413"/>
      <x:c r="C9" s="413"/>
      <x:c r="D9" s="413"/>
      <x:c r="E9" s="413"/>
      <x:c r="F9" s="413"/>
      <x:c r="G9" s="413"/>
      <x:c r="H9" s="414"/>
    </x:row>
    <x:row r="10">
      <x:c r="A10" s="415"/>
      <x:c r="B10" s="416"/>
      <x:c r="C10" s="416"/>
      <x:c r="D10" s="416"/>
      <x:c r="E10" s="416"/>
      <x:c r="F10" s="416"/>
      <x:c r="G10" s="416"/>
      <x:c r="H10" s="417"/>
    </x:row>
    <x:row r="11">
      <x:c r="A11" s="418"/>
      <x:c r="B11" s="419"/>
      <x:c r="C11" s="419"/>
      <x:c r="D11" s="419"/>
      <x:c r="E11" s="419"/>
      <x:c r="F11" s="419"/>
      <x:c r="G11" s="419"/>
      <x:c r="H11" s="420"/>
    </x:row>
    <x:row r="13">
      <x:c r="A13" s="390" t="str">
        <x:v>2. ЗАДАЧИ ДИСЦИПЛИНЫ</x:v>
      </x:c>
      <x:c r="B13" s="390"/>
      <x:c r="C13" s="390"/>
      <x:c r="D13" s="390"/>
      <x:c r="E13" s="390"/>
      <x:c r="F13" s="390"/>
      <x:c r="G13" s="390"/>
      <x:c r="H13" s="390"/>
    </x:row>
    <x:row r="14" ht="34" customHeight="1">
      <x:c r="A14" s="451" t="str">
        <x:v>1</x:v>
      </x:c>
      <x:c r="B14" s="456" t="str">
        <x:v>Освоить вероятностное описание данных, случайных величин, распределений и статистических зависимостей.</x:v>
      </x:c>
      <x:c r="C14" s="457"/>
      <x:c r="D14" s="457"/>
      <x:c r="E14" s="457"/>
      <x:c r="F14" s="457"/>
      <x:c r="G14" s="457"/>
      <x:c r="H14" s="458"/>
    </x:row>
    <x:row r="15" ht="34" customHeight="1">
      <x:c r="A15" s="451" t="str">
        <x:v>2</x:v>
      </x:c>
      <x:c r="B15" s="462" t="str">
        <x:v>Научиться получать точечные и интервальные оценки параметров, исследовать их свойства и количественно описывать неопределенность.</x:v>
      </x:c>
      <x:c r="C15" s="463"/>
      <x:c r="D15" s="463"/>
      <x:c r="E15" s="463"/>
      <x:c r="F15" s="463"/>
      <x:c r="G15" s="463"/>
      <x:c r="H15" s="464"/>
    </x:row>
    <x:row r="16" ht="34" customHeight="1">
      <x:c r="A16" s="451" t="str">
        <x:v>3</x:v>
      </x:c>
      <x:c r="B16" s="456" t="str">
        <x:v>Освоить постановку и проверку статистических гипотез, расчет мощности и планирование A/B-экспериментов.</x:v>
      </x:c>
      <x:c r="C16" s="457"/>
      <x:c r="D16" s="457"/>
      <x:c r="E16" s="457"/>
      <x:c r="F16" s="457"/>
      <x:c r="G16" s="457"/>
      <x:c r="H16" s="458"/>
    </x:row>
    <x:row r="17" ht="34" customHeight="1">
      <x:c r="A17" s="451" t="str">
        <x:v>4</x:v>
      </x:c>
      <x:c r="B17" s="462" t="str">
        <x:v>Применять теорему Байеса, MAP-оценивание, байесовские интервалы и простые вероятностные модели машинного обучения.</x:v>
      </x:c>
      <x:c r="C17" s="463"/>
      <x:c r="D17" s="463"/>
      <x:c r="E17" s="463"/>
      <x:c r="F17" s="463"/>
      <x:c r="G17" s="463"/>
      <x:c r="H17" s="464"/>
    </x:row>
    <x:row r="18" ht="34" customHeight="1">
      <x:c r="A18" s="451" t="str">
        <x:v>5</x:v>
      </x:c>
      <x:c r="B18" s="456" t="str">
        <x:v>Строить и диагностировать статистические модели регрессии, классификации и базовые модели временных рядов.</x:v>
      </x:c>
      <x:c r="C18" s="457"/>
      <x:c r="D18" s="457"/>
      <x:c r="E18" s="457"/>
      <x:c r="F18" s="457"/>
      <x:c r="G18" s="457"/>
      <x:c r="H18" s="458"/>
    </x:row>
    <x:row r="19" ht="34" customHeight="1">
      <x:c r="A19" s="451" t="str">
        <x:v>6</x:v>
      </x:c>
      <x:c r="B19" s="462" t="str">
        <x:v>Проектировать корректные схемы валидации, выбирать метрики и статистически сравнивать модели машинного обучения.</x:v>
      </x:c>
      <x:c r="C19" s="463"/>
      <x:c r="D19" s="463"/>
      <x:c r="E19" s="463"/>
      <x:c r="F19" s="463"/>
      <x:c r="G19" s="463"/>
      <x:c r="H19" s="464"/>
    </x:row>
    <x:row r="21">
      <x:c r="A21" s="390" t="str">
        <x:v>3. ЦЕЛЕВЫЕ ПРОФЕССИОНАЛЬНЫЕ РОЛИ И КОМПЕТЕНЦИИ КРМ</x:v>
      </x:c>
      <x:c r="B21" s="390"/>
      <x:c r="C21" s="390"/>
      <x:c r="D21" s="390"/>
      <x:c r="E21" s="390"/>
      <x:c r="F21" s="390"/>
      <x:c r="G21" s="390"/>
      <x:c r="H21" s="390"/>
    </x:row>
    <x:row r="22">
      <x:c r="A22" s="48" t="str">
        <x:v>Профессиональная роль</x:v>
      </x:c>
      <x:c r="B22" s="49" t="str">
        <x:v>MF-1</x:v>
      </x:c>
      <x:c r="C22" s="49" t="str">
        <x:v>MF-2</x:v>
      </x:c>
      <x:c r="D22" s="49" t="str">
        <x:v>MF-4</x:v>
      </x:c>
      <x:c r="E22" s="49" t="str">
        <x:v>Роль дисциплины в траектории</x:v>
      </x:c>
      <x:c r="F22" s="49"/>
      <x:c r="G22" s="49"/>
      <x:c r="H22" s="50"/>
    </x:row>
    <x:row r="23" ht="46" customHeight="1">
      <x:c r="A23" s="137" t="str">
        <x:v>Data Analyst / аналитик данных</x:v>
      </x:c>
      <x:c r="B23" s="154" t="str">
        <x:v>С</x:v>
      </x:c>
      <x:c r="C23" s="154" t="str">
        <x:v>С</x:v>
      </x:c>
      <x:c r="D23" s="154" t="str">
        <x:v>П</x:v>
      </x:c>
      <x:c r="E23" s="138" t="str">
        <x:v>Основная роль: статистический анализ, экспериментирование и оценка качества моделей.</x:v>
      </x:c>
      <x:c r="F23" s="138"/>
      <x:c r="G23" s="138"/>
      <x:c r="H23" s="139"/>
    </x:row>
    <x:row r="24" ht="46" customHeight="1">
      <x:c r="A24" s="108" t="str">
        <x:v>ML Engineer / инженер машинного обучения</x:v>
      </x:c>
      <x:c r="B24" s="126" t="str">
        <x:v>С</x:v>
      </x:c>
      <x:c r="C24" s="126" t="str">
        <x:v>Б</x:v>
      </x:c>
      <x:c r="D24" s="126" t="str">
        <x:v>С</x:v>
      </x:c>
      <x:c r="E24" s="109" t="str">
        <x:v>Основная роль: корректная постановка, обучение, валидация и сравнение предсказательных моделей.</x:v>
      </x:c>
      <x:c r="F24" s="109"/>
      <x:c r="G24" s="109"/>
      <x:c r="H24" s="110"/>
    </x:row>
    <x:row r="25" ht="46" customHeight="1">
      <x:c r="A25" s="137" t="str">
        <x:v>ML Researcher / исследователь машинного обучения</x:v>
      </x:c>
      <x:c r="B25" s="154" t="str">
        <x:v>П</x:v>
      </x:c>
      <x:c r="C25" s="154" t="str">
        <x:v>П</x:v>
      </x:c>
      <x:c r="D25" s="154" t="str">
        <x:v>С</x:v>
      </x:c>
      <x:c r="E25" s="138" t="str">
        <x:v>Поддерживающая дисциплина: фундамент для дальнейшей статистической теории обучения и вероятностного моделирования.</x:v>
      </x:c>
      <x:c r="F25" s="138"/>
      <x:c r="G25" s="138"/>
      <x:c r="H25" s="139"/>
    </x:row>
    <x:row r="26" ht="46" customHeight="1">
      <x:c r="A26" s="108" t="str">
        <x:v>TADS / технический аналитик данных</x:v>
      </x:c>
      <x:c r="B26" s="126" t="str">
        <x:v>С</x:v>
      </x:c>
      <x:c r="C26" s="126" t="str">
        <x:v>Б</x:v>
      </x:c>
      <x:c r="D26" s="126" t="str">
        <x:v>С</x:v>
      </x:c>
      <x:c r="E26" s="109" t="str">
        <x:v>Поддерживающая роль: анализ данных и статистическое обоснование технических решений.</x:v>
      </x:c>
      <x:c r="F26" s="109"/>
      <x:c r="G26" s="109"/>
      <x:c r="H26" s="110"/>
    </x:row>
    <x:row r="28">
      <x:c r="A28" s="390" t="str">
        <x:v>4. ПЛАНИРУЕМЫЕ РЕЗУЛЬТАТЫ ОБУЧЕНИЯ</x:v>
      </x:c>
      <x:c r="B28" s="390"/>
      <x:c r="C28" s="390"/>
      <x:c r="D28" s="390"/>
      <x:c r="E28" s="390"/>
      <x:c r="F28" s="390"/>
      <x:c r="G28" s="390"/>
      <x:c r="H28" s="390"/>
    </x:row>
    <x:row r="29">
      <x:c r="A29" s="48" t="str">
        <x:v>Код результата</x:v>
      </x:c>
      <x:c r="B29" s="49" t="str">
        <x:v>Планируемый результат обучения</x:v>
      </x:c>
      <x:c r="C29" s="49" t="str">
        <x:v>Компетенция</x:v>
      </x:c>
      <x:c r="D29" s="49" t="str">
        <x:v>Индикатор</x:v>
      </x:c>
      <x:c r="E29" s="49" t="str">
        <x:v>Итоговый уровень</x:v>
      </x:c>
      <x:c r="F29" s="49" t="str">
        <x:v>Наблюдаемый артефакт</x:v>
      </x:c>
      <x:c r="G29" s="49"/>
      <x:c r="H29" s="50"/>
    </x:row>
    <x:row r="30" ht="64" customHeight="1">
      <x:c r="A30" s="468" t="str">
        <x:v>РО-1</x:v>
      </x:c>
      <x:c r="B30" s="138" t="str">
        <x:v>Формализует данные как реализацию вероятностной модели, оценивает распределения и зависимости, выполняет имитационное моделирование.</x:v>
      </x:c>
      <x:c r="C30" s="150" t="str">
        <x:v>MF-1</x:v>
      </x:c>
      <x:c r="D30" s="150" t="str">
        <x:v>1.2</x:v>
      </x:c>
      <x:c r="E30" s="150" t="str">
        <x:v>С</x:v>
      </x:c>
      <x:c r="F30" s="138" t="str">
        <x:v>Вычислительный ноутбук и статистический отчет.</x:v>
      </x:c>
      <x:c r="G30" s="138"/>
      <x:c r="H30" s="139"/>
    </x:row>
    <x:row r="31" ht="64" customHeight="1">
      <x:c r="A31" s="470" t="str">
        <x:v>РО-2</x:v>
      </x:c>
      <x:c r="B31" s="109" t="str">
        <x:v>Выбирает и обосновывает методы точечного и интервального оценивания, анализирует смещение, дисперсию и устойчивость оценок.</x:v>
      </x:c>
      <x:c r="C31" s="122" t="str">
        <x:v>MF-1</x:v>
      </x:c>
      <x:c r="D31" s="122" t="str">
        <x:v>1.2</x:v>
      </x:c>
      <x:c r="E31" s="122" t="str">
        <x:v>С</x:v>
      </x:c>
      <x:c r="F31" s="109" t="str">
        <x:v>Имитационное исследование оценок и покрытия интервалов.</x:v>
      </x:c>
      <x:c r="G31" s="109"/>
      <x:c r="H31" s="110"/>
    </x:row>
    <x:row r="32" ht="64" customHeight="1">
      <x:c r="A32" s="468" t="str">
        <x:v>РО-3</x:v>
      </x:c>
      <x:c r="B32" s="138" t="str">
        <x:v>Формулирует статистические гипотезы, выбирает критерии, рассчитывает мощность и проектирует воспроизводимый эксперимент.</x:v>
      </x:c>
      <x:c r="C32" s="150" t="str">
        <x:v>MF-1</x:v>
      </x:c>
      <x:c r="D32" s="150" t="str">
        <x:v>1.3</x:v>
      </x:c>
      <x:c r="E32" s="150" t="str">
        <x:v>С</x:v>
      </x:c>
      <x:c r="F32" s="138" t="str">
        <x:v>Протокол A/B-эксперимента или статистического исследования.</x:v>
      </x:c>
      <x:c r="G32" s="138"/>
      <x:c r="H32" s="139"/>
    </x:row>
    <x:row r="33" ht="64" customHeight="1">
      <x:c r="A33" s="470" t="str">
        <x:v>РО-4</x:v>
      </x:c>
      <x:c r="B33" s="109" t="str">
        <x:v>Применяет теорему Байеса и объясняет различия байесовского и частотного подходов; использует базовые байесовские оценки и интервалы.</x:v>
      </x:c>
      <x:c r="C33" s="122" t="str">
        <x:v>MF-2</x:v>
      </x:c>
      <x:c r="D33" s="122" t="str">
        <x:v>2.1; 2.2</x:v>
      </x:c>
      <x:c r="E33" s="122" t="str">
        <x:v>С; Б</x:v>
      </x:c>
      <x:c r="F33" s="109" t="str">
        <x:v>Сравнительный анализ MLE, MAP и апостериорного вывода.</x:v>
      </x:c>
      <x:c r="G33" s="109"/>
      <x:c r="H33" s="110"/>
    </x:row>
    <x:row r="34" ht="64" customHeight="1">
      <x:c r="A34" s="468" t="str">
        <x:v>РО-5</x:v>
      </x:c>
      <x:c r="B34" s="138" t="str">
        <x:v>Строит, диагностирует и интерпретирует статистические модели регрессии и классификации.</x:v>
      </x:c>
      <x:c r="C34" s="150" t="str">
        <x:v>MF-4</x:v>
      </x:c>
      <x:c r="D34" s="150" t="str">
        <x:v>4.1</x:v>
      </x:c>
      <x:c r="E34" s="150" t="str">
        <x:v>С</x:v>
      </x:c>
      <x:c r="F34" s="138" t="str">
        <x:v>Диагностический отчет и воспроизводимая модель.</x:v>
      </x:c>
      <x:c r="G34" s="138"/>
      <x:c r="H34" s="139"/>
    </x:row>
    <x:row r="35" ht="64" customHeight="1">
      <x:c r="A35" s="470" t="str">
        <x:v>РО-6</x:v>
      </x:c>
      <x:c r="B35" s="109" t="str">
        <x:v>Применяет базовые вероятностные модели временных рядов и корректную временную валидацию.</x:v>
      </x:c>
      <x:c r="C35" s="122" t="str">
        <x:v>MF-4</x:v>
      </x:c>
      <x:c r="D35" s="122" t="str">
        <x:v>4.2</x:v>
      </x:c>
      <x:c r="E35" s="122" t="str">
        <x:v>Б</x:v>
      </x:c>
      <x:c r="F35" s="109" t="str">
        <x:v>Прогноз с наивным бейзлайном и временной валидацией.</x:v>
      </x:c>
      <x:c r="G35" s="109"/>
      <x:c r="H35" s="110"/>
    </x:row>
    <x:row r="36" ht="64" customHeight="1">
      <x:c r="A36" s="468" t="str">
        <x:v>РО-7</x:v>
      </x:c>
      <x:c r="B36" s="138" t="str">
        <x:v>Разрабатывает схему валидации без утечки данных, оценивает неопределенность метрик и статистически сравнивает модели.</x:v>
      </x:c>
      <x:c r="C36" s="150" t="str">
        <x:v>MF-4</x:v>
      </x:c>
      <x:c r="D36" s="150" t="str">
        <x:v>4.3</x:v>
      </x:c>
      <x:c r="E36" s="150" t="str">
        <x:v>С</x:v>
      </x:c>
      <x:c r="F36" s="138" t="str">
        <x:v>Бенчмарк моделей с интервалами, тестами и обоснованным выбором.</x:v>
      </x:c>
      <x:c r="G36" s="138"/>
      <x:c r="H36" s="139"/>
    </x:row>
    <x:row r="38">
      <x:c r="A38" s="390" t="str">
        <x:v>5. МЕСТО ДИСЦИПЛИНЫ В ОБРАЗОВАТЕЛЬНОЙ ПРОГРАММЕ</x:v>
      </x:c>
      <x:c r="B38" s="390"/>
      <x:c r="C38" s="390"/>
      <x:c r="D38" s="390"/>
      <x:c r="E38" s="390"/>
      <x:c r="F38" s="390"/>
      <x:c r="G38" s="390"/>
      <x:c r="H38" s="390"/>
    </x:row>
    <x:row r="39">
      <x:c r="A39" s="489" t="str">
        <x:v>Дисциплина рекомендуется для 2–3 курса бакалавриата или начала магистратуры после освоения базовой линейной алгебры, математического анализа и программирования на Python. Она формирует математико-статистический фундамент для дисциплин «Основы машинного обучения» (ML-2), «Методы классического машинного обучения с учителем» (ML-3), «Методы классического машинного обучения без учителя» (ML-4), «Устойчивость и надежность алгоритмов машинного обучения» (ML-5), а также поддерживает предварительный анализ данных (BD-1).</x:v>
      </x:c>
      <x:c r="B39" s="490"/>
      <x:c r="C39" s="490"/>
      <x:c r="D39" s="490"/>
      <x:c r="E39" s="490"/>
      <x:c r="F39" s="490"/>
      <x:c r="G39" s="490"/>
      <x:c r="H39" s="491"/>
    </x:row>
    <x:row r="40">
      <x:c r="A40" s="492"/>
      <x:c r="B40" s="493"/>
      <x:c r="C40" s="493"/>
      <x:c r="D40" s="493"/>
      <x:c r="E40" s="493"/>
      <x:c r="F40" s="493"/>
      <x:c r="G40" s="493"/>
      <x:c r="H40" s="494"/>
    </x:row>
    <x:row r="41">
      <x:c r="A41" s="492"/>
      <x:c r="B41" s="493"/>
      <x:c r="C41" s="493"/>
      <x:c r="D41" s="493"/>
      <x:c r="E41" s="493"/>
      <x:c r="F41" s="493"/>
      <x:c r="G41" s="493"/>
      <x:c r="H41" s="494"/>
    </x:row>
    <x:row r="42">
      <x:c r="A42" s="495"/>
      <x:c r="B42" s="496"/>
      <x:c r="C42" s="496"/>
      <x:c r="D42" s="496"/>
      <x:c r="E42" s="496"/>
      <x:c r="F42" s="496"/>
      <x:c r="G42" s="496"/>
      <x:c r="H42" s="497"/>
    </x:row>
    <x:row r="44">
      <x:c r="A44" s="390" t="str">
        <x:v>6. ИНСТРУМЕНТЫ И ФОРМАТЫ РАБОТЫ</x:v>
      </x:c>
      <x:c r="B44" s="390"/>
      <x:c r="C44" s="390"/>
      <x:c r="D44" s="390"/>
      <x:c r="E44" s="390"/>
      <x:c r="F44" s="390"/>
      <x:c r="G44" s="390"/>
      <x:c r="H44" s="390"/>
    </x:row>
    <x:row r="45">
      <x:c r="A45" s="489" t="str">
        <x:v>Python; NumPy; pandas или Polars; SciPy; statsmodels; scikit-learn; matplotlib; Jupyter. Основные учебные артефакты: воспроизводимые ноутбуки, отчеты о статистических исследованиях, протоколы экспериментов, репозиторий проекта и устная защита. Использование генеративного ИИ допускается при раскрытии промптов и сгенерированных фрагментов, проверке воспроизводимости и индивидуальном объяснении статистических решений.</x:v>
      </x:c>
      <x:c r="B45" s="490"/>
      <x:c r="C45" s="490"/>
      <x:c r="D45" s="490"/>
      <x:c r="E45" s="490"/>
      <x:c r="F45" s="490"/>
      <x:c r="G45" s="490"/>
      <x:c r="H45" s="491"/>
    </x:row>
    <x:row r="46">
      <x:c r="A46" s="492"/>
      <x:c r="B46" s="493"/>
      <x:c r="C46" s="493"/>
      <x:c r="D46" s="493"/>
      <x:c r="E46" s="493"/>
      <x:c r="F46" s="493"/>
      <x:c r="G46" s="493"/>
      <x:c r="H46" s="494"/>
    </x:row>
    <x:row r="47">
      <x:c r="A47" s="495"/>
      <x:c r="B47" s="496"/>
      <x:c r="C47" s="496"/>
      <x:c r="D47" s="496"/>
      <x:c r="E47" s="496"/>
      <x:c r="F47" s="496"/>
      <x:c r="G47" s="496"/>
      <x:c r="H47" s="497"/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H8"/>
    <x:mergeCell ref="A9:H11"/>
    <x:mergeCell ref="A13:H13"/>
    <x:mergeCell ref="B14:H14"/>
    <x:mergeCell ref="B15:H15"/>
    <x:mergeCell ref="B16:H16"/>
    <x:mergeCell ref="B17:H17"/>
    <x:mergeCell ref="B18:H18"/>
    <x:mergeCell ref="B19:H19"/>
    <x:mergeCell ref="A21:H21"/>
    <x:mergeCell ref="E22:H22"/>
    <x:mergeCell ref="E23:H23"/>
    <x:mergeCell ref="E24:H24"/>
    <x:mergeCell ref="E25:H25"/>
    <x:mergeCell ref="E26:H26"/>
    <x:mergeCell ref="A28:H28"/>
    <x:mergeCell ref="F29:H29"/>
    <x:mergeCell ref="F30:H30"/>
    <x:mergeCell ref="F31:H31"/>
    <x:mergeCell ref="F32:H32"/>
    <x:mergeCell ref="F33:H33"/>
    <x:mergeCell ref="F34:H34"/>
    <x:mergeCell ref="F35:H35"/>
    <x:mergeCell ref="F36:H36"/>
    <x:mergeCell ref="A38:H38"/>
    <x:mergeCell ref="A39:H42"/>
    <x:mergeCell ref="A44:H44"/>
    <x:mergeCell ref="A45:H4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34" customHeight="1">
      <x:c r="A1" s="5" t="str">
        <x:v>ПРЕРЕКВИЗИТЫ И СВЯЗЬ С ДРУГИМИ ДИСЦИПЛИНАМИ ПО КРМ</x:v>
      </x:c>
      <x:c r="B1" s="5"/>
      <x:c r="C1" s="5"/>
      <x:c r="D1" s="5"/>
      <x:c r="E1" s="5"/>
      <x:c r="F1" s="5"/>
      <x:c r="G1" s="5"/>
    </x:row>
    <x:row r="3">
      <x:c r="A3" s="390" t="str">
        <x:v>1. ВХОДНЫЕ ПРЕРЕКВИЗИТЫ</x:v>
      </x:c>
      <x:c r="B3" s="390"/>
      <x:c r="C3" s="390"/>
      <x:c r="D3" s="390"/>
      <x:c r="E3" s="390"/>
      <x:c r="F3" s="390"/>
      <x:c r="G3" s="390"/>
    </x:row>
    <x:row r="4">
      <x:c r="A4" s="48" t="str">
        <x:v>Область</x:v>
      </x:c>
      <x:c r="B4" s="49" t="str">
        <x:v>Необходимые знания и умения</x:v>
      </x:c>
      <x:c r="C4" s="49" t="str">
        <x:v>Ожидаемый уровень</x:v>
      </x:c>
      <x:c r="D4" s="49" t="str">
        <x:v>Входная диагностика</x:v>
      </x:c>
      <x:c r="E4" s="49"/>
      <x:c r="F4" s="49"/>
      <x:c r="G4" s="50"/>
    </x:row>
    <x:row r="5" ht="64" customHeight="1">
      <x:c r="A5" s="137" t="str">
        <x:v>Линейная алгебра</x:v>
      </x:c>
      <x:c r="B5" s="138" t="str">
        <x:v>Векторы и матрицы; матричное умножение; ранг; собственные значения; квадратичные формы; ковариационная матрица; базовое понимание SVD.</x:v>
      </x:c>
      <x:c r="C5" s="150" t="str">
        <x:v>Базовый</x:v>
      </x:c>
      <x:c r="D5" s="138" t="str">
        <x:v>Диагностические задачи на матричные операции, ковариацию и интерпретацию спектра.</x:v>
      </x:c>
      <x:c r="E5" s="138"/>
      <x:c r="F5" s="138"/>
      <x:c r="G5" s="139"/>
    </x:row>
    <x:row r="6" ht="64" customHeight="1">
      <x:c r="A6" s="108" t="str">
        <x:v>Математический анализ</x:v>
      </x:c>
      <x:c r="B6" s="109" t="str">
        <x:v>Предел, производная и интеграл; частные производные; градиент; экстремумы функций нескольких переменных; ряды и численное интегрирование на базовом уровне.</x:v>
      </x:c>
      <x:c r="C6" s="122" t="str">
        <x:v>Базовый</x:v>
      </x:c>
      <x:c r="D6" s="109" t="str">
        <x:v>Короткая работа на дифференцирование логарифмического правдоподобия и вычисление интеграла плотности.</x:v>
      </x:c>
      <x:c r="E6" s="109"/>
      <x:c r="F6" s="109"/>
      <x:c r="G6" s="110"/>
    </x:row>
    <x:row r="7" ht="64" customHeight="1">
      <x:c r="A7" s="137" t="str">
        <x:v>Программирование</x:v>
      </x:c>
      <x:c r="B7" s="138" t="str">
        <x:v>Python; функции; массивы; векторизация NumPy; табличные данные; построение графиков; чтение CSV; базовая работа в Jupyter.</x:v>
      </x:c>
      <x:c r="C7" s="150" t="str">
        <x:v>Базовый</x:v>
      </x:c>
      <x:c r="D7" s="138" t="str">
        <x:v>Практическое задание на загрузку, агрегирование и визуализацию выборки.</x:v>
      </x:c>
      <x:c r="E7" s="138"/>
      <x:c r="F7" s="138"/>
      <x:c r="G7" s="139"/>
    </x:row>
    <x:row r="8" ht="64" customHeight="1">
      <x:c r="A8" s="108" t="str">
        <x:v>Математическая культура</x:v>
      </x:c>
      <x:c r="B8" s="109" t="str">
        <x:v>Алгебраические преобразования; логические связки; работа с формулами; способность объяснять предположения и ограничения решения.</x:v>
      </x:c>
      <x:c r="C8" s="122" t="str">
        <x:v>Базовый</x:v>
      </x:c>
      <x:c r="D8" s="109" t="str">
        <x:v>Открытые вопросы на интерпретацию формул и проверку корректности рассуждения.</x:v>
      </x:c>
      <x:c r="E8" s="109"/>
      <x:c r="F8" s="109"/>
      <x:c r="G8" s="110"/>
    </x:row>
    <x:row r="10">
      <x:c r="A10" s="390" t="str">
        <x:v>2. СВЯЗЬ С ДИСЦИПЛИНАМИ И КОМПЕТЕНЦИЯМИ</x:v>
      </x:c>
      <x:c r="B10" s="390"/>
      <x:c r="C10" s="390"/>
      <x:c r="D10" s="390"/>
      <x:c r="E10" s="390"/>
      <x:c r="F10" s="390"/>
      <x:c r="G10" s="390"/>
    </x:row>
    <x:row r="11">
      <x:c r="A11" s="48" t="str">
        <x:v>Тип связи</x:v>
      </x:c>
      <x:c r="B11" s="49" t="str">
        <x:v>Дисциплина / направление</x:v>
      </x:c>
      <x:c r="C11" s="49" t="str">
        <x:v>Компетенция КРМ</x:v>
      </x:c>
      <x:c r="D11" s="49" t="str">
        <x:v>Содержание связи</x:v>
      </x:c>
      <x:c r="E11" s="49"/>
      <x:c r="F11" s="49"/>
      <x:c r="G11" s="50"/>
    </x:row>
    <x:row r="12" ht="54" customHeight="1">
      <x:c r="A12" s="468" t="str">
        <x:v>Предшествующая</x:v>
      </x:c>
      <x:c r="B12" s="138" t="str">
        <x:v>Линейная алгебра и математический анализ</x:v>
      </x:c>
      <x:c r="C12" s="150" t="str">
        <x:v>Пререквизит</x:v>
      </x:c>
      <x:c r="D12" s="138" t="str">
        <x:v>Обеспечивают математический аппарат для правдоподобия, регрессии, ковариационных моделей и анализа сходимости статистик.</x:v>
      </x:c>
      <x:c r="E12" s="138"/>
      <x:c r="F12" s="138"/>
      <x:c r="G12" s="139"/>
    </x:row>
    <x:row r="13" ht="54" customHeight="1">
      <x:c r="A13" s="470" t="str">
        <x:v>Предшествующая</x:v>
      </x:c>
      <x:c r="B13" s="109" t="str">
        <x:v>Основы программирования и анализа данных</x:v>
      </x:c>
      <x:c r="C13" s="122" t="str">
        <x:v>Пререквизит</x:v>
      </x:c>
      <x:c r="D13" s="109" t="str">
        <x:v>Обеспечивают реализацию вычислительных экспериментов, обработку выборок и воспроизводимость расчетов.</x:v>
      </x:c>
      <x:c r="E13" s="109"/>
      <x:c r="F13" s="109"/>
      <x:c r="G13" s="110"/>
    </x:row>
    <x:row r="14" ht="54" customHeight="1">
      <x:c r="A14" s="468" t="str">
        <x:v>Сопряженная</x:v>
      </x:c>
      <x:c r="B14" s="138" t="str">
        <x:v>Предварительный анализ данных</x:v>
      </x:c>
      <x:c r="C14" s="150" t="str">
        <x:v>BD-1</x:v>
      </x:c>
      <x:c r="D14" s="138" t="str">
        <x:v>Дисциплина дает статистическое обоснование очистки, исследования распределений, зависимостей, выбросов и пропусков.</x:v>
      </x:c>
      <x:c r="E14" s="138"/>
      <x:c r="F14" s="138"/>
      <x:c r="G14" s="139"/>
    </x:row>
    <x:row r="15" ht="54" customHeight="1">
      <x:c r="A15" s="470" t="str">
        <x:v>Последующая</x:v>
      </x:c>
      <x:c r="B15" s="109" t="str">
        <x:v>Основы машинного обучения</x:v>
      </x:c>
      <x:c r="C15" s="122" t="str">
        <x:v>ML-2</x:v>
      </x:c>
      <x:c r="D15" s="109" t="str">
        <x:v>Обеспечивает понимание статистической значимости, метрик, кросс-валидации, риска и неопределенности моделей.</x:v>
      </x:c>
      <x:c r="E15" s="109"/>
      <x:c r="F15" s="109"/>
      <x:c r="G15" s="110"/>
    </x:row>
    <x:row r="16" ht="54" customHeight="1">
      <x:c r="A16" s="468" t="str">
        <x:v>Последующая</x:v>
      </x:c>
      <x:c r="B16" s="138" t="str">
        <x:v>Методы классического машинного обучения с учителем</x:v>
      </x:c>
      <x:c r="C16" s="150" t="str">
        <x:v>ML-3</x:v>
      </x:c>
      <x:c r="D16" s="138" t="str">
        <x:v>Обеспечивает вероятностную интерпретацию линейных и логистических моделей, регуляризации и сравнения алгоритмов.</x:v>
      </x:c>
      <x:c r="E16" s="138"/>
      <x:c r="F16" s="138"/>
      <x:c r="G16" s="139"/>
    </x:row>
    <x:row r="17" ht="54" customHeight="1">
      <x:c r="A17" s="470" t="str">
        <x:v>Последующая</x:v>
      </x:c>
      <x:c r="B17" s="109" t="str">
        <x:v>Методы классического машинного обучения без учителя</x:v>
      </x:c>
      <x:c r="C17" s="122" t="str">
        <x:v>ML-4</x:v>
      </x:c>
      <x:c r="D17" s="109" t="str">
        <x:v>Обеспечивает понимание распределений, плотностей, расстояний, статистических зависимостей и качества кластеризации.</x:v>
      </x:c>
      <x:c r="E17" s="109"/>
      <x:c r="F17" s="109"/>
      <x:c r="G17" s="110"/>
    </x:row>
    <x:row r="18" ht="54" customHeight="1">
      <x:c r="A18" s="468" t="str">
        <x:v>Последующая</x:v>
      </x:c>
      <x:c r="B18" s="138" t="str">
        <x:v>Устойчивость, надежность и безопасность алгоритмов МО</x:v>
      </x:c>
      <x:c r="C18" s="150" t="str">
        <x:v>ML-5</x:v>
      </x:c>
      <x:c r="D18" s="138" t="str">
        <x:v>Обеспечивает анализ обобщающей способности, сдвига распределений, статистической устойчивости и доверительных оценок.</x:v>
      </x:c>
      <x:c r="E18" s="138"/>
      <x:c r="F18" s="138"/>
      <x:c r="G18" s="139"/>
    </x:row>
    <x:row r="21">
      <x:c r="A21" s="390" t="str">
        <x:v>3. ТРАЕКТОРИЯ ОСВОЕНИЯ ИНДИКАТОРОВ</x:v>
      </x:c>
      <x:c r="B21" s="390"/>
      <x:c r="C21" s="390"/>
      <x:c r="D21" s="390"/>
      <x:c r="E21" s="390"/>
      <x:c r="F21" s="390"/>
      <x:c r="G21" s="390"/>
    </x:row>
    <x:row r="22">
      <x:c r="A22" s="48" t="str">
        <x:v>Индикатор</x:v>
      </x:c>
      <x:c r="B22" s="49" t="str">
        <x:v>Входной уровень</x:v>
      </x:c>
      <x:c r="C22" s="49" t="str">
        <x:v>Где формируется</x:v>
      </x:c>
      <x:c r="D22" s="49" t="str">
        <x:v>Итоговый уровень</x:v>
      </x:c>
      <x:c r="E22" s="49" t="str">
        <x:v>Как используется далее</x:v>
      </x:c>
      <x:c r="F22" s="49"/>
      <x:c r="G22" s="50"/>
    </x:row>
    <x:row r="23" ht="48" customHeight="1">
      <x:c r="A23" s="468" t="str">
        <x:v>MF-1.2</x:v>
      </x:c>
      <x:c r="B23" s="150" t="str">
        <x:v>Входная диагностика / отдельные элементы Б</x:v>
      </x:c>
      <x:c r="C23" s="150" t="str">
        <x:v>Модули 1–3</x:v>
      </x:c>
      <x:c r="D23" s="150" t="str">
        <x:v>С</x:v>
      </x:c>
      <x:c r="E23" s="138" t="str">
        <x:v>Вероятностная постановка и анализ данных в ML-2, ML-3, ML-4.</x:v>
      </x:c>
      <x:c r="F23" s="138"/>
      <x:c r="G23" s="139"/>
    </x:row>
    <x:row r="24" ht="48" customHeight="1">
      <x:c r="A24" s="470" t="str">
        <x:v>MF-1.3</x:v>
      </x:c>
      <x:c r="B24" s="122" t="str">
        <x:v>Не требуется</x:v>
      </x:c>
      <x:c r="C24" s="122" t="str">
        <x:v>Модуль 4</x:v>
      </x:c>
      <x:c r="D24" s="122" t="str">
        <x:v>С</x:v>
      </x:c>
      <x:c r="E24" s="109" t="str">
        <x:v>Экспериментирование, проверка улучшений и исследование алгоритмов.</x:v>
      </x:c>
      <x:c r="F24" s="109"/>
      <x:c r="G24" s="110"/>
    </x:row>
    <x:row r="25" ht="48" customHeight="1">
      <x:c r="A25" s="468" t="str">
        <x:v>MF-2.1</x:v>
      </x:c>
      <x:c r="B25" s="150" t="str">
        <x:v>Не требуется</x:v>
      </x:c>
      <x:c r="C25" s="150" t="str">
        <x:v>Модуль 5</x:v>
      </x:c>
      <x:c r="D25" s="150" t="str">
        <x:v>С</x:v>
      </x:c>
      <x:c r="E25" s="138" t="str">
        <x:v>Байесовская интерпретация вероятностей, регуляризации и неопределенности.</x:v>
      </x:c>
      <x:c r="F25" s="138"/>
      <x:c r="G25" s="139"/>
    </x:row>
    <x:row r="26" ht="48" customHeight="1">
      <x:c r="A26" s="470" t="str">
        <x:v>MF-2.2</x:v>
      </x:c>
      <x:c r="B26" s="122" t="str">
        <x:v>Не требуется</x:v>
      </x:c>
      <x:c r="C26" s="122" t="str">
        <x:v>Модуль 5</x:v>
      </x:c>
      <x:c r="D26" s="122" t="str">
        <x:v>Б</x:v>
      </x:c>
      <x:c r="E26" s="109" t="str">
        <x:v>Основа для продвинутого байесовского моделирования в последующих дисциплинах.</x:v>
      </x:c>
      <x:c r="F26" s="109"/>
      <x:c r="G26" s="110"/>
    </x:row>
    <x:row r="27" ht="48" customHeight="1">
      <x:c r="A27" s="468" t="str">
        <x:v>MF-4.1</x:v>
      </x:c>
      <x:c r="B27" s="150" t="str">
        <x:v>Отдельные элементы Б</x:v>
      </x:c>
      <x:c r="C27" s="150" t="str">
        <x:v>Модули 2 и 6</x:v>
      </x:c>
      <x:c r="D27" s="150" t="str">
        <x:v>С</x:v>
      </x:c>
      <x:c r="E27" s="138" t="str">
        <x:v>Статистические модели анализа данных и предсказания.</x:v>
      </x:c>
      <x:c r="F27" s="138"/>
      <x:c r="G27" s="139"/>
    </x:row>
    <x:row r="28" ht="48" customHeight="1">
      <x:c r="A28" s="470" t="str">
        <x:v>MF-4.2</x:v>
      </x:c>
      <x:c r="B28" s="122" t="str">
        <x:v>Не требуется</x:v>
      </x:c>
      <x:c r="C28" s="122" t="str">
        <x:v>Модуль 6</x:v>
      </x:c>
      <x:c r="D28" s="122" t="str">
        <x:v>Б</x:v>
      </x:c>
      <x:c r="E28" s="109" t="str">
        <x:v>Основа для специализированного курса по временным рядам и случайным процессам.</x:v>
      </x:c>
      <x:c r="F28" s="109"/>
      <x:c r="G28" s="110"/>
    </x:row>
    <x:row r="29" ht="48" customHeight="1">
      <x:c r="A29" s="468" t="str">
        <x:v>MF-4.3</x:v>
      </x:c>
      <x:c r="B29" s="150" t="str">
        <x:v>Не требуется</x:v>
      </x:c>
      <x:c r="C29" s="150" t="str">
        <x:v>Модули 4 и 7</x:v>
      </x:c>
      <x:c r="D29" s="150" t="str">
        <x:v>С</x:v>
      </x:c>
      <x:c r="E29" s="138" t="str">
        <x:v>Валидация, метрики, A/B-тесты и сравнение моделей в ML-дисциплинах.</x:v>
      </x:c>
      <x:c r="F29" s="138"/>
      <x:c r="G29" s="139"/>
    </x:row>
  </x:sheetData>
  <x:mergeCells>
    <x:mergeCell ref="A1:G1"/>
    <x:mergeCell ref="A3:G3"/>
    <x:mergeCell ref="D4:G4"/>
    <x:mergeCell ref="D5:G5"/>
    <x:mergeCell ref="D6:G6"/>
    <x:mergeCell ref="D7:G7"/>
    <x:mergeCell ref="D8:G8"/>
    <x:mergeCell ref="A10:G10"/>
    <x:mergeCell ref="D11:G11"/>
    <x:mergeCell ref="D12:G12"/>
    <x:mergeCell ref="D13:G13"/>
    <x:mergeCell ref="D14:G14"/>
    <x:mergeCell ref="D15:G15"/>
    <x:mergeCell ref="D16:G16"/>
    <x:mergeCell ref="D17:G17"/>
    <x:mergeCell ref="D18:G18"/>
    <x:mergeCell ref="A21:G21"/>
    <x:mergeCell ref="E22:G22"/>
    <x:mergeCell ref="E23:G23"/>
    <x:mergeCell ref="E24:G24"/>
    <x:mergeCell ref="E25:G25"/>
    <x:mergeCell ref="E26:G26"/>
    <x:mergeCell ref="E27:G27"/>
    <x:mergeCell ref="E28:G28"/>
    <x:mergeCell ref="E29:G2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1" hidden="0" customWidth="1"/>
    <x:col min="4" max="4" width="28" hidden="0" customWidth="1"/>
    <x:col min="5" max="5" width="28" hidden="0" customWidth="1"/>
    <x:col min="6" max="6" width="26" hidden="0" customWidth="1"/>
    <x:col min="7" max="7" width="26" hidden="0" customWidth="1"/>
    <x:col min="8" max="8" width="26" hidden="0" customWidth="1"/>
  </x:cols>
  <x:sheetData>
    <x:row r="1" ht="34" customHeight="1">
      <x:c r="A1" s="5" t="str">
        <x:v>СИСТЕМА ОЦЕНКИ РЕЗУЛЬТАТОВ ОБУЧЕНИЯ</x:v>
      </x:c>
      <x:c r="B1" s="5"/>
      <x:c r="C1" s="5"/>
      <x:c r="D1" s="5"/>
      <x:c r="E1" s="5"/>
      <x:c r="F1" s="5"/>
      <x:c r="G1" s="5"/>
      <x:c r="H1" s="5"/>
    </x:row>
    <x:row r="3" ht="44" customHeight="1">
      <x:c r="A3" s="530" t="str">
        <x:v>Система оценивания является кратким описанием и техническим заданием для развернутого фонда оценочных средств. Оценивается достижение индикаторов КРМ через наблюдаемые артефакты, вычислительные эксперименты и устную защиту.</x:v>
      </x:c>
      <x:c r="B3" s="531"/>
      <x:c r="C3" s="531"/>
      <x:c r="D3" s="531"/>
      <x:c r="E3" s="531"/>
      <x:c r="F3" s="531"/>
      <x:c r="G3" s="531"/>
      <x:c r="H3" s="532"/>
    </x:row>
    <x:row r="5">
      <x:c r="A5" s="48" t="str">
        <x:v>Элемент оценивания</x:v>
      </x:c>
      <x:c r="B5" s="49" t="str">
        <x:v>Форма контроля</x:v>
      </x:c>
      <x:c r="C5" s="49" t="str">
        <x:v>Доля, %</x:v>
      </x:c>
      <x:c r="D5" s="49" t="str">
        <x:v>Индикаторы КРМ</x:v>
      </x:c>
      <x:c r="E5" s="49" t="str">
        <x:v>Основной артефакт</x:v>
      </x:c>
      <x:c r="F5" s="49" t="str">
        <x:v>Ключевые критерии</x:v>
      </x:c>
      <x:c r="G5" s="49"/>
      <x:c r="H5" s="50"/>
    </x:row>
    <x:row r="6" ht="66" customHeight="1">
      <x:c r="A6" s="137" t="str">
        <x:v>Мини-задания и диагностические квизы</x:v>
      </x:c>
      <x:c r="B6" s="150" t="str">
        <x:v>Текущий</x:v>
      </x:c>
      <x:c r="C6" s="150" t="n">
        <x:v>10</x:v>
      </x:c>
      <x:c r="D6" s="150" t="str">
        <x:v>MF-1.2; MF-1.3; MF-2.1</x:v>
      </x:c>
      <x:c r="E6" s="138" t="str">
        <x:v>Короткие решения и объяснения</x:v>
      </x:c>
      <x:c r="F6" s="138" t="str">
        <x:v>Корректность понятий; обоснование выбора метода; отсутствие логических ошибок.</x:v>
      </x:c>
      <x:c r="G6" s="138"/>
      <x:c r="H6" s="139"/>
    </x:row>
    <x:row r="7" ht="66" customHeight="1">
      <x:c r="A7" s="108" t="str">
        <x:v>Лабораторные работы 1–5</x:v>
      </x:c>
      <x:c r="B7" s="122" t="str">
        <x:v>Текущий</x:v>
      </x:c>
      <x:c r="C7" s="122" t="n">
        <x:v>30</x:v>
      </x:c>
      <x:c r="D7" s="122" t="str">
        <x:v>MF-1.2; MF-2.2; MF-4.1; MF-4.2</x:v>
      </x:c>
      <x:c r="E7" s="109" t="str">
        <x:v>Воспроизводимые Jupyter-ноутбуки</x:v>
      </x:c>
      <x:c r="F7" s="109" t="str">
        <x:v>Корректность статистической постановки; воспроизводимость; интерпретация результатов; качество графиков и комментариев.</x:v>
      </x:c>
      <x:c r="G7" s="109"/>
      <x:c r="H7" s="110"/>
    </x:row>
    <x:row r="8" ht="66" customHeight="1">
      <x:c r="A8" s="137" t="str">
        <x:v>Рубежные работы по модулям</x:v>
      </x:c>
      <x:c r="B8" s="150" t="str">
        <x:v>Рубежный</x:v>
      </x:c>
      <x:c r="C8" s="150" t="n">
        <x:v>20</x:v>
      </x:c>
      <x:c r="D8" s="150" t="str">
        <x:v>MF-1.3; MF-2.1; MF-4.3</x:v>
      </x:c>
      <x:c r="E8" s="138" t="str">
        <x:v>Контрольная работа / коллоквиум</x:v>
      </x:c>
      <x:c r="F8" s="138" t="str">
        <x:v>Выбор критерия и схемы валидации; анализ предпосылок; расчет и интерпретация неопределенности.</x:v>
      </x:c>
      <x:c r="G8" s="138"/>
      <x:c r="H8" s="139"/>
    </x:row>
    <x:row r="9" ht="66" customHeight="1">
      <x:c r="A9" s="108" t="str">
        <x:v>Интеграционный статистический проект</x:v>
      </x:c>
      <x:c r="B9" s="122" t="str">
        <x:v>Рубежный</x:v>
      </x:c>
      <x:c r="C9" s="122" t="n">
        <x:v>25</x:v>
      </x:c>
      <x:c r="D9" s="122" t="str">
        <x:v>MF-1.2; MF-1.3; MF-2.1; MF-2.2; MF-4.1; MF-4.2; MF-4.3</x:v>
      </x:c>
      <x:c r="E9" s="109" t="str">
        <x:v>Репозиторий, отчет и презентация</x:v>
      </x:c>
      <x:c r="F9" s="109" t="str">
        <x:v>Полнота статистического исследования; корректность эксперимента; сравнение альтернатив; устойчивость выводов; воспроизводимость.</x:v>
      </x:c>
      <x:c r="G9" s="109"/>
      <x:c r="H9" s="110"/>
    </x:row>
    <x:row r="10" ht="66" customHeight="1">
      <x:c r="A10" s="137" t="str">
        <x:v>Экзамен и устная защита</x:v>
      </x:c>
      <x:c r="B10" s="150" t="str">
        <x:v>Промежуточный</x:v>
      </x:c>
      <x:c r="C10" s="150" t="n">
        <x:v>15</x:v>
      </x:c>
      <x:c r="D10" s="150" t="str">
        <x:v>Все заявленные индикаторы</x:v>
      </x:c>
      <x:c r="E10" s="138" t="str">
        <x:v>Экзаменационный билет и ответы по проекту</x:v>
      </x:c>
      <x:c r="F10" s="138" t="str">
        <x:v>Понимание оснований методов; способность объяснить формулы и ограничения; индивидуальность и самостоятельность решения.</x:v>
      </x:c>
      <x:c r="G10" s="138"/>
      <x:c r="H10" s="139"/>
    </x:row>
    <x:row r="11">
      <x:c r="A11" s="542" t="str">
        <x:v>ИТОГО</x:v>
      </x:c>
      <x:c r="B11" s="543"/>
      <x:c r="C11" s="49" t="n">
        <x:f>SUM(C6:C10)</x:f>
        <x:v>100</x:v>
      </x:c>
      <x:c r="D11" s="543"/>
      <x:c r="E11" s="543"/>
      <x:c r="F11" s="543"/>
      <x:c r="G11" s="543"/>
      <x:c r="H11" s="544"/>
    </x:row>
    <x:row r="13">
      <x:c r="A13" s="390" t="str">
        <x:v>УСЛОВИЯ ДОПУСКА К ПРОМЕЖУТОЧНОЙ АТТЕСТАЦИИ</x:v>
      </x:c>
      <x:c r="B13" s="390"/>
      <x:c r="C13" s="390"/>
      <x:c r="D13" s="390"/>
      <x:c r="E13" s="390"/>
      <x:c r="F13" s="390"/>
      <x:c r="G13" s="390"/>
      <x:c r="H13" s="390"/>
    </x:row>
    <x:row r="14">
      <x:c r="A14" s="489" t="str">
        <x:v>К экзамену допускается обучающийся, который выполнил не менее 80% лабораторных работ, получил не менее 50% баллов за текущий и рубежный контроль и представил работоспособную версию интеграционного проекта. Критические ошибки — утечка данных, неверная интерпретация p-value или доверительного интервала, отсутствие воспроизводимости и фальсификация результатов — должны быть исправлены до защиты.</x:v>
      </x:c>
      <x:c r="B14" s="490"/>
      <x:c r="C14" s="490"/>
      <x:c r="D14" s="490"/>
      <x:c r="E14" s="490"/>
      <x:c r="F14" s="490"/>
      <x:c r="G14" s="490"/>
      <x:c r="H14" s="491"/>
    </x:row>
    <x:row r="15">
      <x:c r="A15" s="492"/>
      <x:c r="B15" s="493"/>
      <x:c r="C15" s="493"/>
      <x:c r="D15" s="493"/>
      <x:c r="E15" s="493"/>
      <x:c r="F15" s="493"/>
      <x:c r="G15" s="493"/>
      <x:c r="H15" s="494"/>
    </x:row>
    <x:row r="16">
      <x:c r="A16" s="495"/>
      <x:c r="B16" s="496"/>
      <x:c r="C16" s="496"/>
      <x:c r="D16" s="496"/>
      <x:c r="E16" s="496"/>
      <x:c r="F16" s="496"/>
      <x:c r="G16" s="496"/>
      <x:c r="H16" s="497"/>
    </x:row>
    <x:row r="18">
      <x:c r="A18" s="390" t="str">
        <x:v>ШКАЛА ИТОГОВОЙ ОЦЕНКИ</x:v>
      </x:c>
      <x:c r="B18" s="390"/>
      <x:c r="C18" s="390"/>
      <x:c r="D18" s="390"/>
      <x:c r="E18" s="390"/>
      <x:c r="F18" s="390"/>
      <x:c r="G18" s="390"/>
      <x:c r="H18" s="390"/>
    </x:row>
    <x:row r="19">
      <x:c r="A19" s="48" t="str">
        <x:v>Баллы</x:v>
      </x:c>
      <x:c r="B19" s="49" t="str">
        <x:v>Оценка</x:v>
      </x:c>
      <x:c r="C19" s="49" t="str">
        <x:v>Условие</x:v>
      </x:c>
      <x:c r="D19" s="50" t="str">
        <x:v>Комментарий</x:v>
      </x:c>
    </x:row>
    <x:row r="20" ht="54" customHeight="1">
      <x:c r="A20" s="468" t="str">
        <x:v>86–100</x:v>
      </x:c>
      <x:c r="B20" s="150" t="str">
        <x:v>Отлично</x:v>
      </x:c>
      <x:c r="C20" s="138" t="str">
        <x:v>Все обязательные индикаторы достигнуты; проект защищен без критических ошибок.</x:v>
      </x:c>
      <x:c r="D20" s="139" t="str">
        <x:v>Устойчивые выводы, корректная статистическая аргументация и высокий уровень самостоятельности.</x:v>
      </x:c>
    </x:row>
    <x:row r="21" ht="54" customHeight="1">
      <x:c r="A21" s="470" t="str">
        <x:v>71–85</x:v>
      </x:c>
      <x:c r="B21" s="122" t="str">
        <x:v>Хорошо</x:v>
      </x:c>
      <x:c r="C21" s="109" t="str">
        <x:v>Индикаторы достигнуты с отдельными некритическими недостатками.</x:v>
      </x:c>
      <x:c r="D21" s="110" t="str">
        <x:v>Допустимы локальные ошибки в интерпретации или оформлении при корректной общей постановке.</x:v>
      </x:c>
    </x:row>
    <x:row r="22" ht="54" customHeight="1">
      <x:c r="A22" s="468" t="str">
        <x:v>56–70</x:v>
      </x:c>
      <x:c r="B22" s="150" t="str">
        <x:v>Удовлетворительно</x:v>
      </x:c>
      <x:c r="C22" s="138" t="str">
        <x:v>Базовые результаты достигнуты; все критические ошибки исправлены.</x:v>
      </x:c>
      <x:c r="D22" s="139" t="str">
        <x:v>Решение работоспособно, но анализ неопределенности и сравнение моделей ограничены.</x:v>
      </x:c>
    </x:row>
    <x:row r="23" ht="54" customHeight="1">
      <x:c r="A23" s="470" t="str">
        <x:v>0–55</x:v>
      </x:c>
      <x:c r="B23" s="122" t="str">
        <x:v>Неудовлетворительно</x:v>
      </x:c>
      <x:c r="C23" s="109" t="str">
        <x:v>Не достигнут хотя бы один обязательный индикатор либо сохранены критические ошибки.</x:v>
      </x:c>
      <x:c r="D23" s="110" t="str">
        <x:v>Требуется повторное выполнение или защита.</x:v>
      </x:c>
    </x:row>
    <x:row r="25">
      <x:c r="A25" s="390" t="str">
        <x:v>ПОЛИТИКА ИСПОЛЬЗОВАНИЯ ГЕНЕРАТИВНОГО ИИ</x:v>
      </x:c>
      <x:c r="B25" s="390"/>
      <x:c r="C25" s="390"/>
      <x:c r="D25" s="390"/>
      <x:c r="E25" s="390"/>
      <x:c r="F25" s="390"/>
      <x:c r="G25" s="390"/>
      <x:c r="H25" s="390"/>
    </x:row>
    <x:row r="26">
      <x:c r="A26" s="566" t="str">
        <x:v>Использование генеративного ИИ разрешено как инструмент консультации, генерации чернового кода и проверки гипотез. Обучающийся обязан: раскрыть использованные модели и промпты; отметить сгенерированные фрагменты; проверить формулы, код и источники; обеспечить воспроизводимость; объяснить каждое статистическое решение на защите. При сомнении в самостоятельности преподаватель выдает индивидуальное задание с измененными данными или условиями.</x:v>
      </x:c>
      <x:c r="B26" s="567"/>
      <x:c r="C26" s="567"/>
      <x:c r="D26" s="567"/>
      <x:c r="E26" s="567"/>
      <x:c r="F26" s="567"/>
      <x:c r="G26" s="567"/>
      <x:c r="H26" s="568"/>
    </x:row>
    <x:row r="27">
      <x:c r="A27" s="569"/>
      <x:c r="B27" s="570"/>
      <x:c r="C27" s="570"/>
      <x:c r="D27" s="570"/>
      <x:c r="E27" s="570"/>
      <x:c r="F27" s="570"/>
      <x:c r="G27" s="570"/>
      <x:c r="H27" s="571"/>
    </x:row>
    <x:row r="28">
      <x:c r="A28" s="569"/>
      <x:c r="B28" s="570"/>
      <x:c r="C28" s="570"/>
      <x:c r="D28" s="570"/>
      <x:c r="E28" s="570"/>
      <x:c r="F28" s="570"/>
      <x:c r="G28" s="570"/>
      <x:c r="H28" s="571"/>
    </x:row>
    <x:row r="29">
      <x:c r="A29" s="572"/>
      <x:c r="B29" s="573"/>
      <x:c r="C29" s="573"/>
      <x:c r="D29" s="573"/>
      <x:c r="E29" s="573"/>
      <x:c r="F29" s="573"/>
      <x:c r="G29" s="573"/>
      <x:c r="H29" s="574"/>
    </x:row>
  </x:sheetData>
  <x:mergeCells>
    <x:mergeCell ref="A1:H1"/>
    <x:mergeCell ref="A3:H3"/>
    <x:mergeCell ref="F5:H5"/>
    <x:mergeCell ref="F6:H6"/>
    <x:mergeCell ref="F7:H7"/>
    <x:mergeCell ref="F8:H8"/>
    <x:mergeCell ref="F9:H9"/>
    <x:mergeCell ref="F10:H10"/>
    <x:mergeCell ref="A13:H13"/>
    <x:mergeCell ref="A14:H16"/>
    <x:mergeCell ref="A18:H18"/>
    <x:mergeCell ref="A25:H25"/>
    <x:mergeCell ref="A26:H2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50" hidden="0" customWidth="1"/>
    <x:col min="4" max="4" width="48" hidden="0" customWidth="1"/>
    <x:col min="5" max="5" width="55" hidden="0" customWidth="1"/>
    <x:col min="6" max="6" width="55" hidden="0" customWidth="1"/>
    <x:col min="7" max="7" width="13" hidden="0" customWidth="1"/>
    <x:col min="8" max="8" width="12" hidden="0" customWidth="1"/>
  </x:cols>
  <x:sheetData>
    <x:row r="1" ht="34" customHeight="1">
      <x:c r="A1" s="5" t="str">
        <x:v>СПРАВОЧНИК КОМПЕТЕНЦИЙ И ИНДИКАТОРОВ КРМ</x:v>
      </x:c>
      <x:c r="B1" s="5"/>
      <x:c r="C1" s="5"/>
      <x:c r="D1" s="5"/>
      <x:c r="E1" s="5"/>
      <x:c r="F1" s="5"/>
      <x:c r="G1" s="5"/>
      <x:c r="H1" s="5"/>
    </x:row>
    <x:row r="2" ht="30" customHeight="1">
      <x:c r="A2" s="530" t="str">
        <x:v>Формулировки перенесены из файла «KRM-versia3_0.xlsx». Уровни: Б — базовый, С — средний, П — продвинутый.</x:v>
      </x:c>
      <x:c r="B2" s="531"/>
      <x:c r="C2" s="531"/>
      <x:c r="D2" s="531"/>
      <x:c r="E2" s="531"/>
      <x:c r="F2" s="531"/>
      <x:c r="G2" s="531"/>
      <x:c r="H2" s="532"/>
    </x:row>
    <x:row r="4" ht="44" customHeight="1">
      <x:c r="A4" s="48" t="str">
        <x:v>Код</x:v>
      </x:c>
      <x:c r="B4" s="49" t="str">
        <x:v>Направление компетенции</x:v>
      </x:c>
      <x:c r="C4" s="49" t="str">
        <x:v>Индикатор</x:v>
      </x:c>
      <x:c r="D4" s="49" t="str">
        <x:v>Базовый уровень</x:v>
      </x:c>
      <x:c r="E4" s="49" t="str">
        <x:v>Средний уровень</x:v>
      </x:c>
      <x:c r="F4" s="49" t="str">
        <x:v>Продвинутый уровень</x:v>
      </x:c>
      <x:c r="G4" s="49" t="str">
        <x:v>Итог дисциплины</x:v>
      </x:c>
      <x:c r="H4" s="50" t="str">
        <x:v>Модули</x:v>
      </x:c>
    </x:row>
    <x:row r="5" ht="138" customHeight="1">
      <x:c r="A5" s="468" t="str">
        <x:v>MF-1.2</x:v>
      </x:c>
      <x:c r="B5" s="138" t="str">
        <x:v>Основы теории вероятностей, математической статистики и теории информации</x:v>
      </x:c>
      <x:c r="C5" s="138" t="str">
        <x:v>Применяет аппарат теории вероятностей, математической статистики и теории информации для формулирования и анализа задач искусственного интеллекта.</x:v>
      </x:c>
      <x:c r="D5" s="138" t="str">
        <x:v>Проводит оценку распределений и статистических зависимостей.</x:v>
      </x:c>
      <x:c r="E5" s="138" t="str">
        <x:v>Применяет методы теории вероятностей, статистики и теории информации для решения задач анализа данных, оценки параметров моделей и анализа статистических зависимостей в задачах ИИ.</x:v>
      </x:c>
      <x:c r="F5" s="138" t="str">
        <x:v>Применяет подходы к оценке и конструированию распределений сложной формы, методы оценки нелинейной статистической зависимости, в том числе для случайных процессов.</x:v>
      </x:c>
      <x:c r="G5" s="150" t="str">
        <x:v>С</x:v>
      </x:c>
      <x:c r="H5" s="151" t="str">
        <x:v>1–3</x:v>
      </x:c>
    </x:row>
    <x:row r="6" ht="138" customHeight="1">
      <x:c r="A6" s="470" t="str">
        <x:v>MF-1.3</x:v>
      </x:c>
      <x:c r="B6" s="109" t="str">
        <x:v>Основы теории вероятностей, математической статистики и теории информации</x:v>
      </x:c>
      <x:c r="C6" s="109" t="str">
        <x:v>Применяет аппарат теории вероятностей для исследования методов и моделей машинного обучения.</x:v>
      </x:c>
      <x:c r="D6" s="109" t="str">
        <x:v>Применяет популярные статистические критерии для проверки базовых гипотез, владеет терминологией.</x:v>
      </x:c>
      <x:c r="E6" s="109" t="str">
        <x:v>Формулирует отличия в постановке задачи о проверке гипотезы от постановки для популярных критериев, применяет специализированные критерии.</x:v>
      </x:c>
      <x:c r="F6" s="109" t="str">
        <x:v>Формулирует нестандартные гипотезы и самостоятельно разрабатывает статистические критерии на основе приближенных генеративных методов.</x:v>
      </x:c>
      <x:c r="G6" s="122" t="str">
        <x:v>С</x:v>
      </x:c>
      <x:c r="H6" s="123" t="str">
        <x:v>4</x:v>
      </x:c>
    </x:row>
    <x:row r="7" ht="138" customHeight="1">
      <x:c r="A7" s="468" t="str">
        <x:v>MF-2.1</x:v>
      </x:c>
      <x:c r="B7" s="138" t="str">
        <x:v>Байесовская статистика и моделирование</x:v>
      </x:c>
      <x:c r="C7" s="138" t="str">
        <x:v>Использует теорему Байеса и её следствия, понимает отличия байесовской статистики от частотного подхода.</x:v>
      </x:c>
      <x:c r="D7" s="138" t="str">
        <x:v>Знает теорему Байеса и основные следствия, понимает её связь с частотным подходом и может объяснить различия между байесовской и частотной статистикой.</x:v>
      </x:c>
      <x:c r="E7" s="138" t="str">
        <x:v>Использует теорему Байеса для решения простых задач и объясняет, как байесовский подход применяется для оценки вероятностей и анализов.</x:v>
      </x:c>
      <x:c r="F7" s="138" t="str">
        <x:v>Математически обосновывает и применяет теорему Байеса для решения сложных задач в статистике и моделировании, активно использует байесовский подход для анализа неопределенности.</x:v>
      </x:c>
      <x:c r="G7" s="150" t="str">
        <x:v>С</x:v>
      </x:c>
      <x:c r="H7" s="151" t="str">
        <x:v>5</x:v>
      </x:c>
    </x:row>
    <x:row r="8" ht="138" customHeight="1">
      <x:c r="A8" s="470" t="str">
        <x:v>MF-2.2</x:v>
      </x:c>
      <x:c r="B8" s="109" t="str">
        <x:v>Байесовская статистика и моделирование</x:v>
      </x:c>
      <x:c r="C8" s="109" t="str">
        <x:v>Применяет байесовские методы оценивания и байесовские интервалы для решения задач статистики и построения моделей.</x:v>
      </x:c>
      <x:c r="D8" s="109" t="str">
        <x:v>Применяет базовые байесовские методы оценивания для простых задач статистики и использует байесовские интервалы для интерпретации данных.</x:v>
      </x:c>
      <x:c r="E8" s="109" t="str">
        <x:v>Успешно применяет байесовские методы для решения задач в контексте машинного обучения и анализа данных, включая более сложные статистические задачи.</x:v>
      </x:c>
      <x:c r="F8" s="109" t="str">
        <x:v>Разрабатывает и применяет сложные байесовские методы оценивания, включая адаптивные подходы, для решения нестандартных задач и улучшения качества моделей.</x:v>
      </x:c>
      <x:c r="G8" s="122" t="str">
        <x:v>Б</x:v>
      </x:c>
      <x:c r="H8" s="123" t="str">
        <x:v>5</x:v>
      </x:c>
    </x:row>
    <x:row r="9" ht="138" customHeight="1">
      <x:c r="A9" s="468" t="str">
        <x:v>MF-4.1</x:v>
      </x:c>
      <x:c r="B9" s="138" t="str">
        <x:v>Статистические основы машинного обучения</x:v>
      </x:c>
      <x:c r="C9" s="138" t="str">
        <x:v>Применяет статистические методы анализа и машинного обучения для решения задач анализа данных и проведения экспериментов на данных.</x:v>
      </x:c>
      <x:c r="D9" s="138" t="str">
        <x:v>Понимает отличия статистического обучения от нестатистического, владеет классификацией методов статистического машинного обучения.</x:v>
      </x:c>
      <x:c r="E9" s="138" t="str">
        <x:v>Применяет и выбирает методы статистического МО, учитывая особенности данных и задачи, а также объясняет различия между подходами.</x:v>
      </x:c>
      <x:c r="F9" s="138" t="str">
        <x:v>Разрабатывает и адаптирует сложные статистические модели, анализирует их теоретические свойства и руководит внедрением в практические проекты.</x:v>
      </x:c>
      <x:c r="G9" s="150" t="str">
        <x:v>С</x:v>
      </x:c>
      <x:c r="H9" s="151" t="str">
        <x:v>2, 6</x:v>
      </x:c>
    </x:row>
    <x:row r="10" ht="138" customHeight="1">
      <x:c r="A10" s="470" t="str">
        <x:v>MF-4.2</x:v>
      </x:c>
      <x:c r="B10" s="109" t="str">
        <x:v>Статистические основы машинного обучения</x:v>
      </x:c>
      <x:c r="C10" s="109" t="str">
        <x:v>Способен применять статистические методы для построения предсказательных моделей, включая методы для анализа и прогнозирования временных рядов, а также моделирования нестационарных случайных процессов.</x:v>
      </x:c>
      <x:c r="D10" s="109" t="str">
        <x:v>Способен формализовывать и применять статистические методы идентификации регрессионных и классификационных моделей. Применяет и понимает основы базовых вероятностных моделей для временных рядов на основе авторегрессионных зависимостей.</x:v>
      </x:c>
      <x:c r="E10" s="109" t="str">
        <x:v>Строит модели динамических систем для многомерных временных рядов и полей.</x:v>
      </x:c>
      <x:c r="F10" s="109" t="str">
        <x:v>Применяет на практике углубленные теоретические аспекты моделирования нестационарных случайных процессов и полей.</x:v>
      </x:c>
      <x:c r="G10" s="122" t="str">
        <x:v>Б</x:v>
      </x:c>
      <x:c r="H10" s="123" t="str">
        <x:v>6</x:v>
      </x:c>
    </x:row>
    <x:row r="11" ht="138" customHeight="1">
      <x:c r="A11" s="468" t="str">
        <x:v>MF-4.3</x:v>
      </x:c>
      <x:c r="B11" s="138" t="str">
        <x:v>Статистические основы машинного обучения</x:v>
      </x:c>
      <x:c r="C11" s="138" t="str">
        <x:v>Способен применять статистические методы для оценки качества моделей ИИ, включая метрики и критерии для регрессии, классификации и кластеризации, а также для проведения статистических тестов для сравнения моделей.</x:v>
      </x:c>
      <x:c r="D11" s="138" t="str">
        <x:v>Оценивает качество моделей МО. Знает метрики и меры качества моделей регрессии (в том числе на временных рядах), классификации, кластеризации.</x:v>
      </x:c>
      <x:c r="E11" s="138" t="str">
        <x:v>Оценивает статистические различия моделей и алгоритмов, обучаемых на данных. Знает и применяет модифицированные статистические критерии, A/B тестирование. Применяет оценивание на основе модифицированных доверительных интервалов, использует Байесовские тесты.</x:v>
      </x:c>
      <x:c r="F11" s="138" t="str">
        <x:v>Разрабатывает и применяет продвинутые статистические методы, включая модифицированные критерии, байесовские тесты и A/B тестирование, для оценки и сравнения моделей и алгоритмов.</x:v>
      </x:c>
      <x:c r="G11" s="150" t="str">
        <x:v>С</x:v>
      </x:c>
      <x:c r="H11" s="151" t="str">
        <x:v>4, 7</x:v>
      </x:c>
    </x:row>
    <x:row r="14">
      <x:c r="A14" s="390" t="str">
        <x:v>ФОРМУЛИРОВКИ КОМПЕТЕНЦИЙ</x:v>
      </x:c>
      <x:c r="B14" s="390"/>
      <x:c r="C14" s="390"/>
      <x:c r="D14" s="390"/>
      <x:c r="E14" s="390"/>
      <x:c r="F14" s="390"/>
      <x:c r="G14" s="390"/>
      <x:c r="H14" s="390"/>
    </x:row>
    <x:row r="15">
      <x:c r="A15" s="48" t="str">
        <x:v>Код</x:v>
      </x:c>
      <x:c r="B15" s="49" t="str">
        <x:v>Направление</x:v>
      </x:c>
      <x:c r="C15" s="50" t="str">
        <x:v>Формулировка компетенции</x:v>
      </x:c>
    </x:row>
    <x:row r="16" ht="66" customHeight="1">
      <x:c r="A16" s="468" t="str">
        <x:v>MF-1</x:v>
      </x:c>
      <x:c r="B16" s="138" t="str">
        <x:v>Основы теории вероятностей, математической статистики и теории информации</x:v>
      </x:c>
      <x:c r="C16" s="139" t="str">
        <x:v>Способен применять современную теоретическую математику для разработки новых алгоритмов и формулирования перспективных задач ИИ.</x:v>
      </x:c>
    </x:row>
    <x:row r="17" ht="66" customHeight="1">
      <x:c r="A17" s="470" t="str">
        <x:v>MF-2</x:v>
      </x:c>
      <x:c r="B17" s="109" t="str">
        <x:v>Байесовская статистика и моделирование</x:v>
      </x:c>
      <x:c r="C17" s="110" t="str">
        <x:v>Способен применять байесовский подход для построения вероятностных моделей, анализа неопределенности и создания адаптивных систем ИИ.</x:v>
      </x:c>
    </x:row>
    <x:row r="18" ht="66" customHeight="1">
      <x:c r="A18" s="468" t="str">
        <x:v>MF-4</x:v>
      </x:c>
      <x:c r="B18" s="138" t="str">
        <x:v>Статистические основы машинного обучения</x:v>
      </x:c>
      <x:c r="C18" s="139" t="str">
        <x:v>Способен применять статистические методы для анализа данных, валидации моделей машинного обучения и проведения экспериментов в области ИИ.</x:v>
      </x:c>
    </x:row>
  </x:sheetData>
  <x:mergeCells>
    <x:mergeCell ref="A1:H1"/>
    <x:mergeCell ref="A2:H2"/>
    <x:mergeCell ref="A14:H14"/>
  </x:mergeCells>
  <x:pageMargins left="0.7" right="0.7" top="0.75" bottom="0.75" header="0.3" footer="0.3"/>
</x:worksheet>
</file>