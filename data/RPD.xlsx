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ne\Downloads\"/>
    </mc:Choice>
  </mc:AlternateContent>
  <xr:revisionPtr revIDLastSave="0" documentId="13_ncr:1_{C0139DDC-5439-42A4-9D49-5440237F6E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Главный раздел РПД" sheetId="1" r:id="rId1"/>
    <sheet name="Паспорт РПД" sheetId="2" r:id="rId2"/>
    <sheet name="Пререквизиты и связи" sheetId="3" r:id="rId3"/>
    <sheet name="Система оценивания" sheetId="4" r:id="rId4"/>
    <sheet name="Справочник КРМ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D39" i="1"/>
  <c r="D38" i="1"/>
  <c r="D37" i="1"/>
  <c r="D30" i="1"/>
  <c r="D26" i="1"/>
  <c r="D21" i="1"/>
  <c r="D17" i="1"/>
  <c r="D12" i="1"/>
  <c r="D6" i="1"/>
  <c r="M3" i="1"/>
  <c r="M2" i="1"/>
  <c r="M4" i="1" l="1"/>
  <c r="M6" i="1" s="1"/>
</calcChain>
</file>

<file path=xl/sharedStrings.xml><?xml version="1.0" encoding="utf-8"?>
<sst xmlns="http://schemas.openxmlformats.org/spreadsheetml/2006/main" count="588" uniqueCount="349">
  <si>
    <t>ГЛАВНЫЙ РАЗДЕЛ РАБОЧЕЙ ПРОГРАММЫ ДИСЦИПЛИНЫ</t>
  </si>
  <si>
    <t>КОНТРОЛЬНЫЕ СУММЫ</t>
  </si>
  <si>
    <t>Дисциплина: «Вероятностно-статистические основы машинного обучения»</t>
  </si>
  <si>
    <t>Лекции, а.ч.</t>
  </si>
  <si>
    <t>1 семестр · 4 з.е. / 144 ч. · контактная работа: 64 а.ч. (32 ч. лекций + 32 ч. практических занятий) · самостоятельная работа: 80 ч. · промежуточная аттестация: экзамен с защитой интеграционного проекта</t>
  </si>
  <si>
    <t>Практические, а.ч.</t>
  </si>
  <si>
    <t>Структура и результаты представлены в логике КРМ: каждый элемент дисциплины связан с компетенцией, индикатором и уровнем освоения.</t>
  </si>
  <si>
    <t>Контактная работа, а.ч.</t>
  </si>
  <si>
    <t>Элемент дисциплины</t>
  </si>
  <si>
    <t>Содержание
(тематические сущности)</t>
  </si>
  <si>
    <t>Форма
занятия</t>
  </si>
  <si>
    <t>Объем,
а.ч.</t>
  </si>
  <si>
    <t>Компетенция</t>
  </si>
  <si>
    <t>Индикатор</t>
  </si>
  <si>
    <t>Уровень</t>
  </si>
  <si>
    <t>Самостоятельная работа, ч.</t>
  </si>
  <si>
    <t>—</t>
  </si>
  <si>
    <t>MF-1</t>
  </si>
  <si>
    <t>1.2</t>
  </si>
  <si>
    <t>С</t>
  </si>
  <si>
    <t>Л</t>
  </si>
  <si>
    <t>Б</t>
  </si>
  <si>
    <t>П</t>
  </si>
  <si>
    <t>MF-1; MF-4</t>
  </si>
  <si>
    <t>MF-4</t>
  </si>
  <si>
    <t>4.1</t>
  </si>
  <si>
    <t>1.3; 4.3</t>
  </si>
  <si>
    <t>1.3</t>
  </si>
  <si>
    <t>4.3</t>
  </si>
  <si>
    <t>MF-2</t>
  </si>
  <si>
    <t>2.1; 2.2</t>
  </si>
  <si>
    <t>С; Б</t>
  </si>
  <si>
    <t>2.1</t>
  </si>
  <si>
    <t>2.2</t>
  </si>
  <si>
    <t>4.2</t>
  </si>
  <si>
    <t>Доверительные интервалы для метрик; бутстреп и повторная кросс-валидация; калибровочные кривые; оценка надежности вероятностного прогноза; анализ устойчивости результата.</t>
  </si>
  <si>
    <t>Промежуточная аттестация. Экзамен с защитой интеграционного проекта</t>
  </si>
  <si>
    <t>Комплексное задание: формализация вероятностной модели данных; статистический EDA; оценивание параметров и неопределенности; проверка гипотез; построение статистической предсказательной модели; корректная валидация; статистическое сравнение альтернатив; анализ ограничений и устная защита.</t>
  </si>
  <si>
    <t>Экзамен</t>
  </si>
  <si>
    <t>MF-1; MF-2; MF-4</t>
  </si>
  <si>
    <t>1.2; 1.3; 2.1; 2.2; 4.1; 4.2; 4.3</t>
  </si>
  <si>
    <t>ИТОГО КОНТАКТНАЯ РАБОТА</t>
  </si>
  <si>
    <t>Л + П</t>
  </si>
  <si>
    <t>в том числе лекции</t>
  </si>
  <si>
    <t>в том числе практические занятия</t>
  </si>
  <si>
    <t>РАБОЧАЯ ПРОГРАММА ДИСЦИПЛИНЫ</t>
  </si>
  <si>
    <t>«Вероятностно-статистические основы машинного обучения»</t>
  </si>
  <si>
    <t>Семестр</t>
  </si>
  <si>
    <t>Трудоемкость</t>
  </si>
  <si>
    <t>Контактная работа</t>
  </si>
  <si>
    <t>Аттестация</t>
  </si>
  <si>
    <t>1</t>
  </si>
  <si>
    <t>4 з.е. / 144 ч.</t>
  </si>
  <si>
    <t>64 а.ч.
32 Л + 32 П</t>
  </si>
  <si>
    <t>Экзамен
+ проект</t>
  </si>
  <si>
    <t>1. ЦЕЛЬ ДИСЦИПЛИНЫ</t>
  </si>
  <si>
    <t>Сформировать способность применять аппарат теории вероятностей, математической статистики и байесовского вывода для формализации задач машинного обучения, анализа данных и неопределенности, построения статистических предсказательных моделей, проектирования экспериментов, валидации и статистического сравнения алгоритмов.</t>
  </si>
  <si>
    <t>2. ЗАДАЧИ ДИСЦИПЛИНЫ</t>
  </si>
  <si>
    <t>Освоить вероятностное описание данных, случайных величин, распределений и статистических зависимостей.</t>
  </si>
  <si>
    <t>2</t>
  </si>
  <si>
    <t>Научиться получать точечные и интервальные оценки параметров, исследовать их свойства и количественно описывать неопределенность.</t>
  </si>
  <si>
    <t>3</t>
  </si>
  <si>
    <t>Освоить постановку и проверку статистических гипотез, расчет мощности и планирование A/B-экспериментов.</t>
  </si>
  <si>
    <t>4</t>
  </si>
  <si>
    <t>Применять теорему Байеса, MAP-оценивание, байесовские интервалы и простые вероятностные модели машинного обучения.</t>
  </si>
  <si>
    <t>5</t>
  </si>
  <si>
    <t>Строить и диагностировать статистические модели регрессии, классификации и базовые модели временных рядов.</t>
  </si>
  <si>
    <t>6</t>
  </si>
  <si>
    <t>Проектировать корректные схемы валидации, выбирать метрики и статистически сравнивать модели машинного обучения.</t>
  </si>
  <si>
    <t>3. ЦЕЛЕВЫЕ ПРОФЕССИОНАЛЬНЫЕ РОЛИ И КОМПЕТЕНЦИИ КРМ</t>
  </si>
  <si>
    <t>Профессиональная роль</t>
  </si>
  <si>
    <t>Роль дисциплины в траектории</t>
  </si>
  <si>
    <t>Data Analyst / аналитик данных</t>
  </si>
  <si>
    <t>Основная роль: статистический анализ, экспериментирование и оценка качества моделей.</t>
  </si>
  <si>
    <t>ML Engineer / инженер машинного обучения</t>
  </si>
  <si>
    <t>Основная роль: корректная постановка, обучение, валидация и сравнение предсказательных моделей.</t>
  </si>
  <si>
    <t>ML Researcher / исследователь машинного обучения</t>
  </si>
  <si>
    <t>Поддерживающая дисциплина: фундамент для дальнейшей статистической теории обучения и вероятностного моделирования.</t>
  </si>
  <si>
    <t>TADS / технический аналитик данных</t>
  </si>
  <si>
    <t>Поддерживающая роль: анализ данных и статистическое обоснование технических решений.</t>
  </si>
  <si>
    <t>4. ПЛАНИРУЕМЫЕ РЕЗУЛЬТАТЫ ОБУЧЕНИЯ</t>
  </si>
  <si>
    <t>Код результата</t>
  </si>
  <si>
    <t>Планируемый результат обучения</t>
  </si>
  <si>
    <t>Итоговый уровень</t>
  </si>
  <si>
    <t>РО-1</t>
  </si>
  <si>
    <t>Формализует данные как реализацию вероятностной модели, оценивает распределения и зависимости, выполняет имитационное моделирование.</t>
  </si>
  <si>
    <t>РО-2</t>
  </si>
  <si>
    <t>Выбирает и обосновывает методы точечного и интервального оценивания, анализирует смещение, дисперсию и устойчивость оценок.</t>
  </si>
  <si>
    <t>РО-3</t>
  </si>
  <si>
    <t>Формулирует статистические гипотезы, выбирает критерии, рассчитывает мощность и проектирует воспроизводимый эксперимент.</t>
  </si>
  <si>
    <t>РО-4</t>
  </si>
  <si>
    <t>Применяет теорему Байеса и объясняет различия байесовского и частотного подходов; использует базовые байесовские оценки и интервалы.</t>
  </si>
  <si>
    <t>РО-5</t>
  </si>
  <si>
    <t>Строит, диагностирует и интерпретирует статистические модели регрессии и классификации.</t>
  </si>
  <si>
    <t>РО-6</t>
  </si>
  <si>
    <t>Применяет базовые вероятностные модели временных рядов и корректную временную валидацию.</t>
  </si>
  <si>
    <t>РО-7</t>
  </si>
  <si>
    <t>Разрабатывает схему валидации без утечки данных, оценивает неопределенность метрик и статистически сравнивает модели.</t>
  </si>
  <si>
    <t>5. МЕСТО ДИСЦИПЛИНЫ В ОБРАЗОВАТЕЛЬНОЙ ПРОГРАММЕ</t>
  </si>
  <si>
    <t>Дисциплина рекомендуется для 2–3 курса бакалавриата или начала магистратуры после освоения базовой линейной алгебры, математического анализа и программирования на Python. Она формирует математико-статистический фундамент для дисциплин «Основы машинного обучения» (ML-2), «Методы классического машинного обучения с учителем» (ML-3), «Методы классического машинного обучения без учителя» (ML-4), «Устойчивость и надежность алгоритмов машинного обучения» (ML-5), а также поддерживает предварительный анализ данных (BD-1).</t>
  </si>
  <si>
    <t>6. ИНСТРУМЕНТЫ И ФОРМАТЫ РАБОТЫ</t>
  </si>
  <si>
    <t>Python; NumPy; pandas или Polars; SciPy; statsmodels; scikit-learn; matplotlib; Jupyter. Основные учебные артефакты: воспроизводимые ноутбуки, отчеты о статистических исследованиях, протоколы экспериментов, репозиторий проекта и устная защита. Использование генеративного ИИ допускается при раскрытии промптов и сгенерированных фрагментов, проверке воспроизводимости и индивидуальном объяснении статистических решений.</t>
  </si>
  <si>
    <t>ПРЕРЕКВИЗИТЫ И СВЯЗЬ С ДРУГИМИ ДИСЦИПЛИНАМИ ПО КРМ</t>
  </si>
  <si>
    <t>1. ВХОДНЫЕ ПРЕРЕКВИЗИТЫ</t>
  </si>
  <si>
    <t>Область</t>
  </si>
  <si>
    <t>Необходимые знания и умения</t>
  </si>
  <si>
    <t>Ожидаемый уровень</t>
  </si>
  <si>
    <t>Входная диагностика</t>
  </si>
  <si>
    <t>Линейная алгебра</t>
  </si>
  <si>
    <t>Векторы и матрицы; матричное умножение; ранг; собственные значения; квадратичные формы; ковариационная матрица; базовое понимание SVD.</t>
  </si>
  <si>
    <t>Базовый</t>
  </si>
  <si>
    <t>Диагностические задачи на матричные операции, ковариацию и интерпретацию спектра.</t>
  </si>
  <si>
    <t>Математический анализ</t>
  </si>
  <si>
    <t>Предел, производная и интеграл; частные производные; градиент; экстремумы функций нескольких переменных; ряды и численное интегрирование на базовом уровне.</t>
  </si>
  <si>
    <t>Короткая работа на дифференцирование логарифмического правдоподобия и вычисление интеграла плотности.</t>
  </si>
  <si>
    <t>Программирование</t>
  </si>
  <si>
    <t>Python; функции; массивы; векторизация NumPy; табличные данные; построение графиков; чтение CSV; базовая работа в Jupyter.</t>
  </si>
  <si>
    <t>Практическое задание на загрузку, агрегирование и визуализацию выборки.</t>
  </si>
  <si>
    <t>Алгебраические преобразования; логические связки; работа с формулами; способность объяснять предположения и ограничения решения.</t>
  </si>
  <si>
    <t>Открытые вопросы на интерпретацию формул и проверку корректности рассуждения.</t>
  </si>
  <si>
    <t>2. СВЯЗЬ С ДИСЦИПЛИНАМИ И КОМПЕТЕНЦИЯМИ</t>
  </si>
  <si>
    <t>Тип связи</t>
  </si>
  <si>
    <t>Дисциплина / направление</t>
  </si>
  <si>
    <t>Компетенция КРМ</t>
  </si>
  <si>
    <t>Пререквизит</t>
  </si>
  <si>
    <t>Сопряженная</t>
  </si>
  <si>
    <t>Предварительный анализ данных</t>
  </si>
  <si>
    <t>BD-1</t>
  </si>
  <si>
    <t>Последующая</t>
  </si>
  <si>
    <t>Методы классического машинного обучения с учителем</t>
  </si>
  <si>
    <t>ML-3</t>
  </si>
  <si>
    <t>Методы классического машинного обучения без учителя</t>
  </si>
  <si>
    <t>ML-4</t>
  </si>
  <si>
    <t>Устойчивость, надежность и безопасность алгоритмов МО</t>
  </si>
  <si>
    <t>ML-5</t>
  </si>
  <si>
    <t>3. ТРАЕКТОРИЯ ОСВОЕНИЯ ИНДИКАТОРОВ</t>
  </si>
  <si>
    <t>Входной уровень</t>
  </si>
  <si>
    <t>Где формируется</t>
  </si>
  <si>
    <t>Как используется далее</t>
  </si>
  <si>
    <t>MF-1.2</t>
  </si>
  <si>
    <t>Входная диагностика / отдельные элементы Б</t>
  </si>
  <si>
    <t>Модули 1–3</t>
  </si>
  <si>
    <t>Вероятностная постановка и анализ данных в ML-2, ML-3, ML-4.</t>
  </si>
  <si>
    <t>MF-1.3</t>
  </si>
  <si>
    <t>Не требуется</t>
  </si>
  <si>
    <t>Модуль 4</t>
  </si>
  <si>
    <t>Экспериментирование, проверка улучшений и исследование алгоритмов.</t>
  </si>
  <si>
    <t>MF-2.1</t>
  </si>
  <si>
    <t>Модуль 5</t>
  </si>
  <si>
    <t>Байесовская интерпретация вероятностей, регуляризации и неопределенности.</t>
  </si>
  <si>
    <t>MF-2.2</t>
  </si>
  <si>
    <t>Основа для продвинутого байесовского моделирования в последующих дисциплинах.</t>
  </si>
  <si>
    <t>MF-4.1</t>
  </si>
  <si>
    <t>Отдельные элементы Б</t>
  </si>
  <si>
    <t>Модули 2 и 6</t>
  </si>
  <si>
    <t>Статистические модели анализа данных и предсказания.</t>
  </si>
  <si>
    <t>MF-4.2</t>
  </si>
  <si>
    <t>Модуль 6</t>
  </si>
  <si>
    <t>Основа для специализированного курса по временным рядам и случайным процессам.</t>
  </si>
  <si>
    <t>MF-4.3</t>
  </si>
  <si>
    <t>Модули 4 и 7</t>
  </si>
  <si>
    <t>Валидация, метрики, A/B-тесты и сравнение моделей в ML-дисциплинах.</t>
  </si>
  <si>
    <t>СИСТЕМА ОЦЕНКИ РЕЗУЛЬТАТОВ ОБУЧЕНИЯ</t>
  </si>
  <si>
    <t>Система оценивания является кратким описанием и техническим заданием для развернутого фонда оценочных средств. Оценивается достижение индикаторов КРМ через наблюдаемые артефакты, вычислительные эксперименты и устную защиту.</t>
  </si>
  <si>
    <t>Элемент оценивания</t>
  </si>
  <si>
    <t>Форма контроля</t>
  </si>
  <si>
    <t>Доля, %</t>
  </si>
  <si>
    <t>Индикаторы КРМ</t>
  </si>
  <si>
    <t>Основной артефакт</t>
  </si>
  <si>
    <t>Ключевые критерии</t>
  </si>
  <si>
    <t>Мини-задания и диагностические квизы</t>
  </si>
  <si>
    <t>Текущий</t>
  </si>
  <si>
    <t>MF-1.2; MF-1.3; MF-2.1</t>
  </si>
  <si>
    <t>Короткие решения и объяснения</t>
  </si>
  <si>
    <t>Корректность понятий; обоснование выбора метода; отсутствие логических ошибок.</t>
  </si>
  <si>
    <t>Лабораторные работы 1–5</t>
  </si>
  <si>
    <t>MF-1.2; MF-2.2; MF-4.1; MF-4.2</t>
  </si>
  <si>
    <t>Воспроизводимые Jupyter-ноутбуки</t>
  </si>
  <si>
    <t>Корректность статистической постановки; воспроизводимость; интерпретация результатов; качество графиков и комментариев.</t>
  </si>
  <si>
    <t>Рубежные работы по модулям</t>
  </si>
  <si>
    <t>Рубежный</t>
  </si>
  <si>
    <t>MF-1.3; MF-2.1; MF-4.3</t>
  </si>
  <si>
    <t>Контрольная работа / коллоквиум</t>
  </si>
  <si>
    <t>Выбор критерия и схемы валидации; анализ предпосылок; расчет и интерпретация неопределенности.</t>
  </si>
  <si>
    <t>Интеграционный статистический проект</t>
  </si>
  <si>
    <t>MF-1.2; MF-1.3; MF-2.1; MF-2.2; MF-4.1; MF-4.2; MF-4.3</t>
  </si>
  <si>
    <t>Репозиторий, отчет и презентация</t>
  </si>
  <si>
    <t>Полнота статистического исследования; корректность эксперимента; сравнение альтернатив; устойчивость выводов; воспроизводимость.</t>
  </si>
  <si>
    <t>Экзамен и устная защита</t>
  </si>
  <si>
    <t>Промежуточный</t>
  </si>
  <si>
    <t>Все заявленные индикаторы</t>
  </si>
  <si>
    <t>Экзаменационный билет и ответы по проекту</t>
  </si>
  <si>
    <t>Понимание оснований методов; способность объяснить формулы и ограничения; индивидуальность и самостоятельность решения.</t>
  </si>
  <si>
    <t>ИТОГО</t>
  </si>
  <si>
    <t>УСЛОВИЯ ДОПУСКА К ПРОМЕЖУТОЧНОЙ АТТЕСТАЦИИ</t>
  </si>
  <si>
    <t>К экзамену допускается обучающийся, который выполнил не менее 80% лабораторных работ, получил не менее 50% баллов за текущий и рубежный контроль и представил работоспособную версию интеграционного проекта. Критические ошибки — утечка данных, неверная интерпретация p-value или доверительного интервала, отсутствие воспроизводимости и фальсификация результатов — должны быть исправлены до защиты.</t>
  </si>
  <si>
    <t>ШКАЛА ИТОГОВОЙ ОЦЕНКИ</t>
  </si>
  <si>
    <t>Баллы</t>
  </si>
  <si>
    <t>Оценка</t>
  </si>
  <si>
    <t>Условие</t>
  </si>
  <si>
    <t>Комментарий</t>
  </si>
  <si>
    <t>86–100</t>
  </si>
  <si>
    <t>Отлично</t>
  </si>
  <si>
    <t>Все обязательные индикаторы достигнуты; проект защищен без критических ошибок.</t>
  </si>
  <si>
    <t>Устойчивые выводы, корректная статистическая аргументация и высокий уровень самостоятельности.</t>
  </si>
  <si>
    <t>71–85</t>
  </si>
  <si>
    <t>Хорошо</t>
  </si>
  <si>
    <t>Индикаторы достигнуты с отдельными некритическими недостатками.</t>
  </si>
  <si>
    <t>Допустимы локальные ошибки в интерпретации или оформлении при корректной общей постановке.</t>
  </si>
  <si>
    <t>56–70</t>
  </si>
  <si>
    <t>Удовлетворительно</t>
  </si>
  <si>
    <t>Базовые результаты достигнуты; все критические ошибки исправлены.</t>
  </si>
  <si>
    <t>Решение работоспособно, но анализ неопределенности и сравнение моделей ограничены.</t>
  </si>
  <si>
    <t>0–55</t>
  </si>
  <si>
    <t>Неудовлетворительно</t>
  </si>
  <si>
    <t>Не достигнут хотя бы один обязательный индикатор либо сохранены критические ошибки.</t>
  </si>
  <si>
    <t>Требуется повторное выполнение или защита.</t>
  </si>
  <si>
    <t>ПОЛИТИКА ИСПОЛЬЗОВАНИЯ ГЕНЕРАТИВНОГО ИИ</t>
  </si>
  <si>
    <t>Использование генеративного ИИ разрешено как инструмент консультации, генерации чернового кода и проверки гипотез. Обучающийся обязан: раскрыть использованные модели и промпты; отметить сгенерированные фрагменты; проверить формулы, код и источники; обеспечить воспроизводимость; объяснить каждое статистическое решение на защите. При сомнении в самостоятельности преподаватель выдает индивидуальное задание с измененными данными или условиями.</t>
  </si>
  <si>
    <t>СПРАВОЧНИК КОМПЕТЕНЦИЙ И ИНДИКАТОРОВ КРМ</t>
  </si>
  <si>
    <t>Формулировки перенесены из файла «KRM-versia3_0.xlsx». Уровни: Б — базовый, С — средний, П — продвинутый.</t>
  </si>
  <si>
    <t>Код</t>
  </si>
  <si>
    <t>Направление компетенции</t>
  </si>
  <si>
    <t>Базовый уровень</t>
  </si>
  <si>
    <t>Средний уровень</t>
  </si>
  <si>
    <t>Продвинутый уровень</t>
  </si>
  <si>
    <t>Итог дисциплины</t>
  </si>
  <si>
    <t>Модули</t>
  </si>
  <si>
    <t>Основы теории вероятностей, математической статистики и теории информации</t>
  </si>
  <si>
    <t>Применяет аппарат теории вероятностей, математической статистики и теории информации для формулирования и анализа задач искусственного интеллекта.</t>
  </si>
  <si>
    <t>Проводит оценку распределений и статистических зависимостей.</t>
  </si>
  <si>
    <t>Применяет методы теории вероятностей, статистики и теории информации для решения задач анализа данных, оценки параметров моделей и анализа статистических зависимостей в задачах ИИ.</t>
  </si>
  <si>
    <t>Применяет подходы к оценке и конструированию распределений сложной формы, методы оценки нелинейной статистической зависимости, в том числе для случайных процессов.</t>
  </si>
  <si>
    <t>1–3</t>
  </si>
  <si>
    <t>Применяет аппарат теории вероятностей для исследования методов и моделей машинного обучения.</t>
  </si>
  <si>
    <t>Применяет популярные статистические критерии для проверки базовых гипотез, владеет терминологией.</t>
  </si>
  <si>
    <t>Формулирует отличия в постановке задачи о проверке гипотезы от постановки для популярных критериев, применяет специализированные критерии.</t>
  </si>
  <si>
    <t>Формулирует нестандартные гипотезы и самостоятельно разрабатывает статистические критерии на основе приближенных генеративных методов.</t>
  </si>
  <si>
    <t>Байесовская статистика и моделирование</t>
  </si>
  <si>
    <t>Использует теорему Байеса и её следствия, понимает отличия байесовской статистики от частотного подхода.</t>
  </si>
  <si>
    <t>Знает теорему Байеса и основные следствия, понимает её связь с частотным подходом и может объяснить различия между байесовской и частотной статистикой.</t>
  </si>
  <si>
    <t>Использует теорему Байеса для решения простых задач и объясняет, как байесовский подход применяется для оценки вероятностей и анализов.</t>
  </si>
  <si>
    <t>Математически обосновывает и применяет теорему Байеса для решения сложных задач в статистике и моделировании, активно использует байесовский подход для анализа неопределенности.</t>
  </si>
  <si>
    <t>Применяет байесовские методы оценивания и байесовские интервалы для решения задач статистики и построения моделей.</t>
  </si>
  <si>
    <t>Применяет базовые байесовские методы оценивания для простых задач статистики и использует байесовские интервалы для интерпретации данных.</t>
  </si>
  <si>
    <t>Успешно применяет байесовские методы для решения задач в контексте машинного обучения и анализа данных, включая более сложные статистические задачи.</t>
  </si>
  <si>
    <t>Разрабатывает и применяет сложные байесовские методы оценивания, включая адаптивные подходы, для решения нестандартных задач и улучшения качества моделей.</t>
  </si>
  <si>
    <t>Статистические основы машинного обучения</t>
  </si>
  <si>
    <t>Применяет статистические методы анализа и машинного обучения для решения задач анализа данных и проведения экспериментов на данных.</t>
  </si>
  <si>
    <t>Понимает отличия статистического обучения от нестатистического, владеет классификацией методов статистического машинного обучения.</t>
  </si>
  <si>
    <t>Применяет и выбирает методы статистического МО, учитывая особенности данных и задачи, а также объясняет различия между подходами.</t>
  </si>
  <si>
    <t>Разрабатывает и адаптирует сложные статистические модели, анализирует их теоретические свойства и руководит внедрением в практические проекты.</t>
  </si>
  <si>
    <t>2, 6</t>
  </si>
  <si>
    <t>Способен применять статистические методы для построения предсказательных моделей, включая методы для анализа и прогнозирования временных рядов, а также моделирования нестационарных случайных процессов.</t>
  </si>
  <si>
    <t>Способен формализовывать и применять статистические методы идентификации регрессионных и классификационных моделей. Применяет и понимает основы базовых вероятностных моделей для временных рядов на основе авторегрессионных зависимостей.</t>
  </si>
  <si>
    <t>Строит модели динамических систем для многомерных временных рядов и полей.</t>
  </si>
  <si>
    <t>Применяет на практике углубленные теоретические аспекты моделирования нестационарных случайных процессов и полей.</t>
  </si>
  <si>
    <t>Способен применять статистические методы для оценки качества моделей ИИ, включая метрики и критерии для регрессии, классификации и кластеризации, а также для проведения статистических тестов для сравнения моделей.</t>
  </si>
  <si>
    <t>Оценивает качество моделей МО. Знает метрики и меры качества моделей регрессии (в том числе на временных рядах), классификации, кластеризации.</t>
  </si>
  <si>
    <t>Оценивает статистические различия моделей и алгоритмов, обучаемых на данных. Знает и применяет модифицированные статистические критерии, A/B тестирование. Применяет оценивание на основе модифицированных доверительных интервалов, использует Байесовские тесты.</t>
  </si>
  <si>
    <t>Разрабатывает и применяет продвинутые статистические методы, включая модифицированные критерии, байесовские тесты и A/B тестирование, для оценки и сравнения моделей и алгоритмов.</t>
  </si>
  <si>
    <t>4, 7</t>
  </si>
  <si>
    <t>ФОРМУЛИРОВКИ КОМПЕТЕНЦИЙ</t>
  </si>
  <si>
    <t>Направление</t>
  </si>
  <si>
    <t>Формулировка компетенции</t>
  </si>
  <si>
    <t>Способен применять современную теоретическую математику для разработки новых алгоритмов и формулирования перспективных задач ИИ.</t>
  </si>
  <si>
    <t>Способен применять байесовский подход для построения вероятностных моделей, анализа неопределенности и создания адаптивных систем ИИ.</t>
  </si>
  <si>
    <t>Способен применять статистические методы для анализа данных, валидации моделей машинного обучения и проведения экспериментов в области ИИ.</t>
  </si>
  <si>
    <t>Генеральная совокупность и выборка; репрезентативность; эмпирическая функция распределения и формы распределения.</t>
  </si>
  <si>
    <t>Медиана, квантили, MAD, моменты;  выбросы.</t>
  </si>
  <si>
    <t>Ядерная оценка плотности; ранговые методы; визуальный анализ распределений.</t>
  </si>
  <si>
    <t>Свойства оценок; смещенность, состоятельность, эффективность оценок.</t>
  </si>
  <si>
    <t>Функция правдоподобия; метод максимального правдоподобия; информация Фишера и неравенство Рао-Крамера; метод моментов и его сравнение с методом максимального правдоподобия.</t>
  </si>
  <si>
    <t>Центральная статистика как метод получения доверительных интервалов для средних, долей, дисперсий.</t>
  </si>
  <si>
    <t>Статистическая суть бутстрепа; сэмплинг или генерация повторной выборки методом Монте-Карло; сравнение с байесовским подходом.</t>
  </si>
  <si>
    <t>Нулевая и альтернативная гипотезы; статистика критерия; критическая область; ошибки первого и второго рода; p-value; статистическая мощность.</t>
  </si>
  <si>
    <t>Выбор метрик; рандомизация, стратификация, методы уменьшения дисперсии.</t>
  </si>
  <si>
    <t>Теорема Байеса и ее следствия; байесовская вероятность; априорное и апостериорное распределения; сопряженные распределения; трактовка байесовского подхода.</t>
  </si>
  <si>
    <t>Сопоставление MLE и MAP; выбор априорного распределения с точки зрения теории информации; L1- и L2-регуляризация как вероятностные предположения; чувствительность вывода от априорного распределения.</t>
  </si>
  <si>
    <t>Концепция байесовских доверительных интервалов как анализ апостериорного  распределения; оценка параметров модели и функции плотности вероятности прогноза;  байесовская проверка гипотез.</t>
  </si>
  <si>
    <t>Построение байесовской регрессионной и классификационной моделей; интерпретация апостериорного вывода.</t>
  </si>
  <si>
    <t>Вероятностная постановка задачи линейной регрессии; метод наименьших квадратов и свойства вывода.</t>
  </si>
  <si>
    <t>4.1; 4.2; 4.3</t>
  </si>
  <si>
    <t xml:space="preserve"> Б; С</t>
  </si>
  <si>
    <t>Функция потерь и ожидаемый риск; суть и критерии переобучения;сравнение эмпирической и теоретической функций распределения; обучение, валидация и тестирование моделей; случаи зависимых и независимых значений в выборке</t>
  </si>
  <si>
    <t>k-fold, стратифицированная, групповая и временная кросс-валидация; вложенная и повторная валидация; статистически корректный ML-пайплайн.</t>
  </si>
  <si>
    <t>Метрики качества регрессии, классификации и кластеризации; матрица ошибок; ROC- и PR-кривые; выбор порога; дисбаланс классов; связь метрики с целевыми показателями.</t>
  </si>
  <si>
    <t>L1- и L2-регуляризация; отбор признаков и моделей по критериям AIC и BIC; парные тесты и критерии сравнения моделей; соотношение между смещением и дисперсией; функции потерь; интервальные прогнозы.</t>
  </si>
  <si>
    <t>Б; С</t>
  </si>
  <si>
    <t>Модуль1. Выборка, разведочный и непараметрический анализ данных</t>
  </si>
  <si>
    <t>Занятие 1.1. Выборка, эмпирическое распределение и описательная статистика</t>
  </si>
  <si>
    <t>Занятие 1.2. Описательная статистика</t>
  </si>
  <si>
    <t>Занятие 1.3. Статистическая зависимость</t>
  </si>
  <si>
    <t xml:space="preserve">Модуль 2. Статистическое оценивание </t>
  </si>
  <si>
    <t>Занятие 2.1. Точечные оценки и их свойства</t>
  </si>
  <si>
    <t>Занятие 2.2. Методы получения оценок</t>
  </si>
  <si>
    <t>Занятие 2.3. Доверительные интервалы</t>
  </si>
  <si>
    <t>Занятие 2.4. Бутстреп, метод складного ножа, получение оценок в виде доверительных интервалов</t>
  </si>
  <si>
    <t>Модуль 3. Статистические гипотезы</t>
  </si>
  <si>
    <t>Занятие 3.1. Основные определения</t>
  </si>
  <si>
    <t xml:space="preserve">Занятие 3.2. Параметрические и непараметрические критерии </t>
  </si>
  <si>
    <t>Занятие 3.3. Проектирование и анализ A/B-эксперимента</t>
  </si>
  <si>
    <t>Модуль 4. Байесовский статистический вывод</t>
  </si>
  <si>
    <t>Занятие 4.1. Теорема Байеса, априорное и апостериорное распределения</t>
  </si>
  <si>
    <t>Занятие 4.2. MLE, MAP и регуляризация</t>
  </si>
  <si>
    <t>Занятие 4.3. Байесовские доверительные интервалы</t>
  </si>
  <si>
    <t>Занятие 4.4. Байесовский подход в задачах машинного обучения</t>
  </si>
  <si>
    <t>Модуль 5. Статистические предсказательные модели</t>
  </si>
  <si>
    <t>Занятие 5.1. Линейная регрессия как вероятностная модель</t>
  </si>
  <si>
    <t>Занятие 5.2. Задачи регрессии и  модели классификации</t>
  </si>
  <si>
    <t>Занятие 5.3. Регуляризация, качество оценивания моделей и прогноза</t>
  </si>
  <si>
    <t>Модуль 6. Валидация и статистическое сравнение моделей машинного обучения</t>
  </si>
  <si>
    <t>Занятие 6.1. Обобщающая способность и дизайн выборок</t>
  </si>
  <si>
    <t>Занятие 6.2. Кросс-валидация</t>
  </si>
  <si>
    <t>Занятие 6.3. Метрики качества и несбалансированные данные</t>
  </si>
  <si>
    <t>Занятие 6.4. Неопределенность метрик и калибровка</t>
  </si>
  <si>
    <t>Проверка гипотез о средних, долях и дисперсиях; парные и независимые выборки; t-, z- и χ²-критерии; критерии согласия, критерий Манна-Уитни.</t>
  </si>
  <si>
    <t>Математическая логика</t>
  </si>
  <si>
    <t>Формы контроля</t>
  </si>
  <si>
    <t>Виды КИМ</t>
  </si>
  <si>
    <t>Линейная алгебра и аналитическая геометрия</t>
  </si>
  <si>
    <t>Теория вероятностей</t>
  </si>
  <si>
    <t>PL-1</t>
  </si>
  <si>
    <t>MF-6</t>
  </si>
  <si>
    <t>MF-5.1. Применяет современную теоретическую математику для разработки новых алгоритмов и формулирования перспективных задач ИИ.</t>
  </si>
  <si>
    <t>MF-5</t>
  </si>
  <si>
    <t>Индикатор компетенции</t>
  </si>
  <si>
    <t>Рубеж</t>
  </si>
  <si>
    <t>Занятие 1.4. Непараметрические оценки</t>
  </si>
  <si>
    <t>Логистическая регрессия; логит и пробит модели;  вероятностная интерпретация классификации; модель AR; статистическая причинность.</t>
  </si>
  <si>
    <t xml:space="preserve">Ковариация; корреляция; корреляционное отношение; коэффициент детерминации; формулы полного мат.ожидания и дисперсии; нелинейные зависимости </t>
  </si>
  <si>
    <t>Текущ</t>
  </si>
  <si>
    <t>ЛР</t>
  </si>
  <si>
    <t>Тест</t>
  </si>
  <si>
    <t>MF-6.1. Применяет логические структуры для принятия решений в автоматизированных системах ИИ.</t>
  </si>
  <si>
    <t>BD-1.3. Применяет методы анализа данных для проверки разведочных гипотез и подготовки данных к применению современных методов ИИ</t>
  </si>
  <si>
    <t>ML-3.2. Эффективно применяет классические методы и модели МО для обеспечения достижимости функциональных характеристик систем ИИ</t>
  </si>
  <si>
    <t>ML-5.2. Применяет методы повышения устойчивости, надежности, безопасности алгоритмов МО для проверки разведочных гипотез и подготовки данных к применению современных методов ИИ</t>
  </si>
  <si>
    <t>PL-1.1. Разрабатывает и отлаживает прикладные решения разной сложности и для разного круга конечных пользователей с использованием языка программирования Python, тестирует, испытывает и оценивает качество таких решений.</t>
  </si>
  <si>
    <t>ML-4.1. Применяет алгоритмы кластеризации и понижения размерности для решения практических задач.</t>
  </si>
  <si>
    <t>MF-1.2. Применяет аппарат теории вероятностей, математической статистики и теории информации для формулирования и анализа задач искусственного интеллекта.</t>
  </si>
  <si>
    <t>КР</t>
  </si>
  <si>
    <t>Дескриптор</t>
  </si>
  <si>
    <t>Cпособен применять статистические методы для оценки качества моделей ИИ, включая метрики и критерии для регрессии, классификации и кластеризации, а также для проведения статистических тестов для сравнения моделей.</t>
  </si>
  <si>
    <t>Промеж</t>
  </si>
  <si>
    <t>Билеты</t>
  </si>
  <si>
    <t xml:space="preserve">Языки программирования </t>
  </si>
  <si>
    <t>1.2; 1.3</t>
  </si>
  <si>
    <t>Строит непараметрические и параметрические модели для низкоразмерных распределений (двухмерных, трехмерных).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</si>
</sst>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Carlito"/>
    </font>
    <font>
      <b/>
      <sz val="16"/>
      <color rgb="FFFFFFFF"/>
      <name val="Carlito"/>
    </font>
    <font>
      <b/>
      <sz val="12"/>
      <color rgb="FF1F4E78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sz val="10"/>
      <color rgb="FF1F1F1F"/>
      <name val="Carlito"/>
    </font>
    <font>
      <b/>
      <sz val="16"/>
      <color rgb="FFFFFFFF"/>
      <name val="Aptos"/>
      <family val="2"/>
    </font>
    <font>
      <sz val="11"/>
      <name val="Aptos"/>
      <family val="2"/>
    </font>
    <font>
      <b/>
      <sz val="12"/>
      <color rgb="FF1F4E78"/>
      <name val="Aptos"/>
      <family val="2"/>
    </font>
    <font>
      <b/>
      <sz val="10"/>
      <color rgb="FF1F4E78"/>
      <name val="Aptos"/>
      <family val="2"/>
    </font>
    <font>
      <b/>
      <sz val="10"/>
      <color rgb="FF1F1F1F"/>
      <name val="Aptos"/>
      <family val="2"/>
    </font>
    <font>
      <i/>
      <sz val="10"/>
      <color rgb="FF1F1F1F"/>
      <name val="Aptos"/>
      <family val="2"/>
    </font>
    <font>
      <sz val="10"/>
      <color rgb="FF666666"/>
      <name val="Aptos"/>
      <family val="2"/>
    </font>
    <font>
      <b/>
      <sz val="11"/>
      <color rgb="FFFFFFFF"/>
      <name val="Aptos"/>
      <family val="2"/>
    </font>
    <font>
      <b/>
      <sz val="10"/>
      <color rgb="FFFFFFFF"/>
      <name val="Aptos"/>
      <family val="2"/>
    </font>
    <font>
      <b/>
      <sz val="14"/>
      <color rgb="FF1F4E78"/>
      <name val="Carlito"/>
    </font>
    <font>
      <b/>
      <sz val="12"/>
      <color rgb="FFFFFFFF"/>
      <name val="Carlito"/>
    </font>
    <font>
      <sz val="11"/>
      <color rgb="FF1F1F1F"/>
      <name val="Carlito"/>
    </font>
    <font>
      <sz val="12"/>
      <color rgb="FFFFFFFF"/>
      <name val="Aptos"/>
      <family val="2"/>
    </font>
    <font>
      <b/>
      <sz val="12"/>
      <color rgb="FFFFFFFF"/>
      <name val="Aptos"/>
      <family val="2"/>
    </font>
    <font>
      <sz val="11"/>
      <color rgb="FF1F1F1F"/>
      <name val="Aptos"/>
      <family val="2"/>
    </font>
    <font>
      <sz val="12"/>
      <color rgb="FF1F1F1F"/>
      <name val="Aptos"/>
      <family val="2"/>
    </font>
    <font>
      <sz val="12"/>
      <color rgb="FF1F1F1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4F8FC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6">
    <border>
      <left/>
      <right/>
      <top/>
      <bottom/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/>
      <diagonal/>
    </border>
    <border>
      <left style="thin">
        <color rgb="FF8EA9C1"/>
      </left>
      <right style="thin">
        <color rgb="FF8EA9C1"/>
      </right>
      <top/>
      <bottom/>
      <diagonal/>
    </border>
    <border>
      <left style="thin">
        <color rgb="FF8EA9C1"/>
      </left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  <border>
      <left style="thin">
        <color rgb="FF8EA9C1"/>
      </left>
      <right/>
      <top/>
      <bottom style="thin">
        <color rgb="FF8EA9C1"/>
      </bottom>
      <diagonal/>
    </border>
    <border>
      <left/>
      <right style="thin">
        <color rgb="FF8EA9C1"/>
      </right>
      <top/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 style="thin">
        <color rgb="FF8EA9C1"/>
      </left>
      <right/>
      <top/>
      <bottom/>
      <diagonal/>
    </border>
    <border>
      <left/>
      <right style="thin">
        <color rgb="FF8EA9C1"/>
      </right>
      <top/>
      <bottom/>
      <diagonal/>
    </border>
    <border>
      <left/>
      <right/>
      <top/>
      <bottom style="thin">
        <color rgb="FF8EA9C1"/>
      </bottom>
      <diagonal/>
    </border>
    <border>
      <left style="thin">
        <color rgb="FF8EA9C1"/>
      </left>
      <right style="thin">
        <color rgb="FF8EA9C1"/>
      </right>
      <top/>
      <bottom style="thin">
        <color rgb="FF8EA9C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5" fillId="7" borderId="2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7" fillId="0" borderId="0" xfId="0" applyFont="1"/>
    <xf numFmtId="0" fontId="9" fillId="3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8" fillId="6" borderId="4" xfId="0" applyFont="1" applyFill="1" applyBorder="1" applyAlignment="1">
      <alignment vertical="top" wrapText="1"/>
    </xf>
    <xf numFmtId="0" fontId="19" fillId="5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top" wrapText="1"/>
    </xf>
    <xf numFmtId="0" fontId="20" fillId="7" borderId="1" xfId="0" applyFont="1" applyFill="1" applyBorder="1" applyAlignment="1">
      <alignment vertical="top" wrapText="1"/>
    </xf>
    <xf numFmtId="0" fontId="13" fillId="5" borderId="2" xfId="0" applyFont="1" applyFill="1" applyBorder="1" applyAlignment="1">
      <alignment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49" fontId="21" fillId="4" borderId="2" xfId="0" applyNumberFormat="1" applyFont="1" applyFill="1" applyBorder="1" applyAlignment="1">
      <alignment horizontal="center" vertical="center" wrapText="1"/>
    </xf>
    <xf numFmtId="49" fontId="21" fillId="7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top" wrapText="1"/>
    </xf>
    <xf numFmtId="0" fontId="22" fillId="0" borderId="2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22" fillId="0" borderId="1" xfId="0" applyFont="1" applyBorder="1" applyAlignment="1">
      <alignment horizontal="center" vertical="top" wrapText="1"/>
    </xf>
    <xf numFmtId="0" fontId="21" fillId="7" borderId="14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left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4" borderId="2" xfId="0" applyFont="1" applyFill="1" applyBorder="1" applyAlignment="1">
      <alignment horizontal="left" vertical="center" wrapText="1"/>
    </xf>
    <xf numFmtId="49" fontId="21" fillId="4" borderId="2" xfId="0" applyNumberFormat="1" applyFont="1" applyFill="1" applyBorder="1" applyAlignment="1">
      <alignment horizontal="left" vertical="center" wrapText="1"/>
    </xf>
    <xf numFmtId="49" fontId="21" fillId="7" borderId="2" xfId="0" applyNumberFormat="1" applyFont="1" applyFill="1" applyBorder="1" applyAlignment="1">
      <alignment horizontal="left" vertical="center" wrapText="1"/>
    </xf>
    <xf numFmtId="0" fontId="21" fillId="7" borderId="11" xfId="0" applyFont="1" applyFill="1" applyBorder="1" applyAlignment="1">
      <alignment horizontal="left" vertical="center" wrapText="1"/>
    </xf>
    <xf numFmtId="0" fontId="21" fillId="7" borderId="14" xfId="0" applyFont="1" applyFill="1" applyBorder="1" applyAlignment="1">
      <alignment horizontal="left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49" fontId="21" fillId="7" borderId="11" xfId="0" applyNumberFormat="1" applyFont="1" applyFill="1" applyBorder="1" applyAlignment="1">
      <alignment horizontal="center" vertical="center" wrapText="1"/>
    </xf>
    <xf numFmtId="49" fontId="21" fillId="7" borderId="0" xfId="0" applyNumberFormat="1" applyFont="1" applyFill="1" applyAlignment="1">
      <alignment horizontal="center" vertical="center" wrapText="1"/>
    </xf>
    <xf numFmtId="49" fontId="21" fillId="7" borderId="14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20" fillId="4" borderId="11" xfId="0" applyFont="1" applyFill="1" applyBorder="1" applyAlignment="1">
      <alignment horizontal="left" vertical="top" wrapText="1"/>
    </xf>
    <xf numFmtId="0" fontId="20" fillId="4" borderId="14" xfId="0" applyFont="1" applyFill="1" applyBorder="1" applyAlignment="1">
      <alignment horizontal="left" vertical="top" wrapText="1"/>
    </xf>
    <xf numFmtId="0" fontId="21" fillId="7" borderId="11" xfId="0" applyFont="1" applyFill="1" applyBorder="1" applyAlignment="1">
      <alignment horizontal="center" vertical="center" wrapText="1"/>
    </xf>
    <xf numFmtId="0" fontId="21" fillId="7" borderId="14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left" vertical="center" wrapText="1"/>
    </xf>
    <xf numFmtId="0" fontId="20" fillId="7" borderId="14" xfId="0" applyFont="1" applyFill="1" applyBorder="1" applyAlignment="1">
      <alignment horizontal="left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7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8" fillId="6" borderId="11" xfId="0" applyFont="1" applyFill="1" applyBorder="1" applyAlignment="1">
      <alignment horizontal="left" vertical="top" wrapText="1"/>
    </xf>
    <xf numFmtId="0" fontId="18" fillId="6" borderId="14" xfId="0" applyFont="1" applyFill="1" applyBorder="1" applyAlignment="1">
      <alignment horizontal="left" vertical="top" wrapText="1"/>
    </xf>
    <xf numFmtId="0" fontId="18" fillId="6" borderId="5" xfId="0" applyFont="1" applyFill="1" applyBorder="1" applyAlignment="1">
      <alignment horizontal="left" vertical="top" wrapText="1"/>
    </xf>
    <xf numFmtId="0" fontId="18" fillId="6" borderId="15" xfId="0" applyFont="1" applyFill="1" applyBorder="1" applyAlignment="1">
      <alignment horizontal="left" vertical="top" wrapText="1"/>
    </xf>
    <xf numFmtId="0" fontId="20" fillId="4" borderId="7" xfId="0" applyFont="1" applyFill="1" applyBorder="1" applyAlignment="1">
      <alignment horizontal="left" vertical="top" wrapText="1"/>
    </xf>
    <xf numFmtId="0" fontId="20" fillId="4" borderId="9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left" vertical="center"/>
    </xf>
    <xf numFmtId="0" fontId="17" fillId="4" borderId="7" xfId="0" applyFont="1" applyFill="1" applyBorder="1" applyAlignment="1">
      <alignment vertical="center" wrapText="1"/>
    </xf>
    <xf numFmtId="0" fontId="17" fillId="4" borderId="11" xfId="0" applyFont="1" applyFill="1" applyBorder="1" applyAlignment="1">
      <alignment vertical="center" wrapText="1"/>
    </xf>
    <xf numFmtId="0" fontId="17" fillId="4" borderId="8" xfId="0" applyFont="1" applyFill="1" applyBorder="1" applyAlignment="1">
      <alignment vertical="center" wrapText="1"/>
    </xf>
    <xf numFmtId="0" fontId="17" fillId="4" borderId="12" xfId="0" applyFont="1" applyFill="1" applyBorder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17" fillId="4" borderId="13" xfId="0" applyFont="1" applyFill="1" applyBorder="1" applyAlignment="1">
      <alignment vertical="center" wrapText="1"/>
    </xf>
    <xf numFmtId="0" fontId="17" fillId="4" borderId="9" xfId="0" applyFont="1" applyFill="1" applyBorder="1" applyAlignment="1">
      <alignment vertical="center" wrapText="1"/>
    </xf>
    <xf numFmtId="0" fontId="17" fillId="4" borderId="14" xfId="0" applyFont="1" applyFill="1" applyBorder="1" applyAlignment="1">
      <alignment vertical="center" wrapText="1"/>
    </xf>
    <xf numFmtId="0" fontId="17" fillId="4" borderId="10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5" fillId="4" borderId="7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17" fillId="0" borderId="2" xfId="0" applyFont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vertical="center" wrapText="1"/>
    </xf>
    <xf numFmtId="0" fontId="5" fillId="8" borderId="11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vertical="center" wrapText="1"/>
    </xf>
    <xf numFmtId="0" fontId="5" fillId="8" borderId="12" xfId="0" applyFont="1" applyFill="1" applyBorder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8" borderId="13" xfId="0" applyFont="1" applyFill="1" applyBorder="1" applyAlignment="1">
      <alignment vertical="center" wrapText="1"/>
    </xf>
    <xf numFmtId="0" fontId="5" fillId="8" borderId="9" xfId="0" applyFont="1" applyFill="1" applyBorder="1" applyAlignment="1">
      <alignment vertical="center" wrapText="1"/>
    </xf>
    <xf numFmtId="0" fontId="5" fillId="8" borderId="14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21" fillId="7" borderId="0" xfId="0" applyFont="1" applyFill="1" applyBorder="1" applyAlignment="1">
      <alignment horizontal="center" vertical="center" wrapText="1"/>
    </xf>
    <xf numFmtId="0" fontId="20" fillId="7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pane ySplit="5" topLeftCell="A26" activePane="bottomLeft" state="frozen"/>
      <selection pane="bottomLeft" activeCell="L29" sqref="L29"/>
    </sheetView>
  </sheetViews>
  <sheetFormatPr defaultRowHeight="14"/>
  <cols>
    <col min="1" max="1" width="31.9140625" customWidth="1"/>
    <col min="2" max="2" width="54.6640625" hidden="1" customWidth="1"/>
    <col min="3" max="3" width="7.5" hidden="1" customWidth="1"/>
    <col min="4" max="4" width="8.1640625" hidden="1" customWidth="1"/>
    <col min="5" max="5" width="10.25" customWidth="1"/>
    <col min="6" max="6" width="10.58203125" customWidth="1"/>
    <col min="7" max="7" width="38.08203125" customWidth="1"/>
    <col min="8" max="8" width="8.4140625" customWidth="1"/>
    <col min="9" max="9" width="10.4140625" customWidth="1"/>
    <col min="10" max="10" width="8.4140625" customWidth="1"/>
    <col min="11" max="11" width="5.25" customWidth="1"/>
    <col min="12" max="12" width="26" customWidth="1"/>
    <col min="13" max="13" width="18" customWidth="1"/>
  </cols>
  <sheetData>
    <row r="1" spans="1:13" ht="17" hidden="1" customHeight="1">
      <c r="A1" s="89" t="s">
        <v>0</v>
      </c>
      <c r="B1" s="89"/>
      <c r="C1" s="89"/>
      <c r="D1" s="89"/>
      <c r="E1" s="89"/>
      <c r="F1" s="89"/>
      <c r="G1" s="89"/>
      <c r="H1" s="89"/>
      <c r="I1" s="45"/>
      <c r="J1" s="45"/>
      <c r="K1" s="16"/>
      <c r="L1" s="89" t="s">
        <v>1</v>
      </c>
      <c r="M1" s="89"/>
    </row>
    <row r="2" spans="1:13" ht="15" hidden="1" customHeight="1">
      <c r="A2" s="98" t="s">
        <v>2</v>
      </c>
      <c r="B2" s="98"/>
      <c r="C2" s="98"/>
      <c r="D2" s="98"/>
      <c r="E2" s="98"/>
      <c r="F2" s="98"/>
      <c r="G2" s="98"/>
      <c r="H2" s="98"/>
      <c r="I2" s="46"/>
      <c r="J2" s="46"/>
      <c r="K2" s="16"/>
      <c r="L2" s="17" t="s">
        <v>3</v>
      </c>
      <c r="M2" s="18">
        <f>SUMIF(C6:C35,"Л",D6:D35)</f>
        <v>32</v>
      </c>
    </row>
    <row r="3" spans="1:13" ht="29" hidden="1" customHeight="1">
      <c r="A3" s="99" t="s">
        <v>4</v>
      </c>
      <c r="B3" s="99"/>
      <c r="C3" s="99"/>
      <c r="D3" s="99"/>
      <c r="E3" s="99"/>
      <c r="F3" s="99"/>
      <c r="G3" s="99"/>
      <c r="H3" s="99"/>
      <c r="I3" s="47"/>
      <c r="J3" s="47"/>
      <c r="K3" s="16"/>
      <c r="L3" s="19" t="s">
        <v>5</v>
      </c>
      <c r="M3" s="20">
        <f>SUMIF(C6:C35,"П",D6:D35)</f>
        <v>32</v>
      </c>
    </row>
    <row r="4" spans="1:13" ht="15" hidden="1" customHeight="1">
      <c r="A4" s="100" t="s">
        <v>6</v>
      </c>
      <c r="B4" s="100"/>
      <c r="C4" s="100"/>
      <c r="D4" s="100"/>
      <c r="E4" s="100"/>
      <c r="F4" s="100"/>
      <c r="G4" s="100"/>
      <c r="H4" s="100"/>
      <c r="I4" s="48"/>
      <c r="J4" s="48"/>
      <c r="K4" s="16"/>
      <c r="L4" s="19" t="s">
        <v>7</v>
      </c>
      <c r="M4" s="20">
        <f>M2+M3</f>
        <v>64</v>
      </c>
    </row>
    <row r="5" spans="1:13" ht="34" customHeight="1">
      <c r="A5" s="21" t="s">
        <v>8</v>
      </c>
      <c r="B5" s="22" t="s">
        <v>9</v>
      </c>
      <c r="C5" s="33" t="s">
        <v>10</v>
      </c>
      <c r="D5" s="22" t="s">
        <v>11</v>
      </c>
      <c r="E5" s="22" t="s">
        <v>12</v>
      </c>
      <c r="F5" s="22" t="s">
        <v>13</v>
      </c>
      <c r="G5" s="22" t="s">
        <v>342</v>
      </c>
      <c r="H5" s="23" t="s">
        <v>14</v>
      </c>
      <c r="I5" s="49" t="s">
        <v>318</v>
      </c>
      <c r="J5" s="49" t="s">
        <v>319</v>
      </c>
      <c r="K5" s="16"/>
      <c r="L5" s="19" t="s">
        <v>15</v>
      </c>
      <c r="M5" s="20">
        <v>56</v>
      </c>
    </row>
    <row r="6" spans="1:13" ht="30.4" customHeight="1">
      <c r="A6" s="55" t="s">
        <v>289</v>
      </c>
      <c r="B6" s="24" t="s">
        <v>16</v>
      </c>
      <c r="C6" s="25" t="s">
        <v>16</v>
      </c>
      <c r="D6" s="25">
        <f>SUM(D7:D11)</f>
        <v>10</v>
      </c>
      <c r="E6" s="71" t="s">
        <v>17</v>
      </c>
      <c r="F6" s="71" t="s">
        <v>347</v>
      </c>
      <c r="G6" s="71"/>
      <c r="H6" s="72" t="s">
        <v>288</v>
      </c>
      <c r="I6" s="73" t="s">
        <v>327</v>
      </c>
      <c r="J6" s="73" t="s">
        <v>341</v>
      </c>
      <c r="K6" s="16"/>
      <c r="L6" s="16"/>
      <c r="M6" s="16">
        <f>M4+M5</f>
        <v>120</v>
      </c>
    </row>
    <row r="7" spans="1:13" ht="57" customHeight="1">
      <c r="A7" s="54" t="s">
        <v>290</v>
      </c>
      <c r="B7" s="56" t="s">
        <v>268</v>
      </c>
      <c r="C7" s="59" t="s">
        <v>20</v>
      </c>
      <c r="D7" s="59">
        <v>2</v>
      </c>
      <c r="E7" s="92" t="s">
        <v>17</v>
      </c>
      <c r="F7" s="92" t="s">
        <v>18</v>
      </c>
      <c r="G7" s="94" t="s">
        <v>229</v>
      </c>
      <c r="H7" s="61" t="s">
        <v>21</v>
      </c>
      <c r="I7" s="61" t="s">
        <v>331</v>
      </c>
      <c r="J7" s="61" t="s">
        <v>333</v>
      </c>
      <c r="K7" s="16"/>
      <c r="L7" s="16"/>
      <c r="M7" s="16"/>
    </row>
    <row r="8" spans="1:13" ht="40.5" customHeight="1">
      <c r="A8" s="54" t="s">
        <v>291</v>
      </c>
      <c r="B8" s="57" t="s">
        <v>269</v>
      </c>
      <c r="C8" s="61" t="s">
        <v>22</v>
      </c>
      <c r="D8" s="61">
        <v>2</v>
      </c>
      <c r="E8" s="159"/>
      <c r="F8" s="159"/>
      <c r="G8" s="160"/>
      <c r="H8" s="61" t="s">
        <v>21</v>
      </c>
      <c r="I8" s="61" t="s">
        <v>331</v>
      </c>
      <c r="J8" s="61" t="s">
        <v>333</v>
      </c>
      <c r="K8" s="16"/>
      <c r="L8" s="16"/>
      <c r="M8" s="16"/>
    </row>
    <row r="9" spans="1:13" ht="17" customHeight="1">
      <c r="A9" s="103" t="s">
        <v>292</v>
      </c>
      <c r="B9" s="105" t="s">
        <v>330</v>
      </c>
      <c r="C9" s="59" t="s">
        <v>20</v>
      </c>
      <c r="D9" s="59">
        <v>2</v>
      </c>
      <c r="E9" s="159"/>
      <c r="F9" s="159"/>
      <c r="G9" s="160"/>
      <c r="H9" s="92" t="s">
        <v>19</v>
      </c>
      <c r="I9" s="92" t="s">
        <v>331</v>
      </c>
      <c r="J9" s="92" t="s">
        <v>333</v>
      </c>
      <c r="K9" s="16"/>
      <c r="L9" s="16"/>
      <c r="M9" s="16"/>
    </row>
    <row r="10" spans="1:13" ht="39" customHeight="1">
      <c r="A10" s="104"/>
      <c r="B10" s="106"/>
      <c r="C10" s="59" t="s">
        <v>22</v>
      </c>
      <c r="D10" s="59">
        <v>2</v>
      </c>
      <c r="E10" s="93"/>
      <c r="F10" s="93"/>
      <c r="G10" s="95"/>
      <c r="H10" s="93"/>
      <c r="I10" s="93"/>
      <c r="J10" s="93"/>
      <c r="K10" s="16"/>
      <c r="L10" s="16"/>
      <c r="M10" s="16"/>
    </row>
    <row r="11" spans="1:13" ht="58.5" customHeight="1">
      <c r="A11" s="54" t="s">
        <v>328</v>
      </c>
      <c r="B11" s="57" t="s">
        <v>270</v>
      </c>
      <c r="C11" s="61" t="s">
        <v>22</v>
      </c>
      <c r="D11" s="61">
        <v>2</v>
      </c>
      <c r="E11" s="61" t="s">
        <v>17</v>
      </c>
      <c r="F11" s="65" t="s">
        <v>27</v>
      </c>
      <c r="G11" s="75" t="s">
        <v>348</v>
      </c>
      <c r="H11" s="61" t="s">
        <v>19</v>
      </c>
      <c r="I11" s="61" t="s">
        <v>331</v>
      </c>
      <c r="J11" s="61" t="s">
        <v>333</v>
      </c>
      <c r="K11" s="16"/>
      <c r="L11" s="16"/>
      <c r="M11" s="16"/>
    </row>
    <row r="12" spans="1:13" ht="32.25" customHeight="1">
      <c r="A12" s="55" t="s">
        <v>293</v>
      </c>
      <c r="B12" s="58" t="s">
        <v>16</v>
      </c>
      <c r="C12" s="25" t="s">
        <v>16</v>
      </c>
      <c r="D12" s="25">
        <f>SUM(D13:D16)</f>
        <v>8</v>
      </c>
      <c r="E12" s="25" t="s">
        <v>17</v>
      </c>
      <c r="F12" s="25" t="s">
        <v>18</v>
      </c>
      <c r="G12" s="25"/>
      <c r="H12" s="26" t="s">
        <v>288</v>
      </c>
      <c r="I12" s="50" t="s">
        <v>327</v>
      </c>
      <c r="J12" s="50" t="s">
        <v>341</v>
      </c>
      <c r="K12" s="16"/>
      <c r="L12" s="16"/>
      <c r="M12" s="16"/>
    </row>
    <row r="13" spans="1:13" ht="32" customHeight="1">
      <c r="A13" s="54" t="s">
        <v>294</v>
      </c>
      <c r="B13" s="57" t="s">
        <v>271</v>
      </c>
      <c r="C13" s="61" t="s">
        <v>20</v>
      </c>
      <c r="D13" s="61">
        <v>2</v>
      </c>
      <c r="E13" s="92" t="s">
        <v>17</v>
      </c>
      <c r="F13" s="92" t="s">
        <v>18</v>
      </c>
      <c r="G13" s="81" t="s">
        <v>229</v>
      </c>
      <c r="H13" s="61" t="s">
        <v>21</v>
      </c>
      <c r="I13" s="70" t="s">
        <v>331</v>
      </c>
      <c r="J13" s="63" t="s">
        <v>333</v>
      </c>
      <c r="K13" s="16"/>
      <c r="L13" s="16"/>
      <c r="M13" s="16"/>
    </row>
    <row r="14" spans="1:13" ht="34" customHeight="1">
      <c r="A14" s="54" t="s">
        <v>295</v>
      </c>
      <c r="B14" s="56" t="s">
        <v>272</v>
      </c>
      <c r="C14" s="59" t="s">
        <v>20</v>
      </c>
      <c r="D14" s="59">
        <v>2</v>
      </c>
      <c r="E14" s="96"/>
      <c r="F14" s="96"/>
      <c r="G14" s="97"/>
      <c r="H14" s="59" t="s">
        <v>19</v>
      </c>
      <c r="I14" s="59" t="s">
        <v>331</v>
      </c>
      <c r="J14" s="60" t="s">
        <v>333</v>
      </c>
      <c r="K14" s="16"/>
      <c r="L14" s="16"/>
      <c r="M14" s="16"/>
    </row>
    <row r="15" spans="1:13" ht="34" customHeight="1">
      <c r="A15" s="54" t="s">
        <v>296</v>
      </c>
      <c r="B15" s="57" t="s">
        <v>273</v>
      </c>
      <c r="C15" s="61" t="s">
        <v>20</v>
      </c>
      <c r="D15" s="61">
        <v>2</v>
      </c>
      <c r="E15" s="96"/>
      <c r="F15" s="96"/>
      <c r="G15" s="97"/>
      <c r="H15" s="61" t="s">
        <v>19</v>
      </c>
      <c r="I15" s="76" t="s">
        <v>331</v>
      </c>
      <c r="J15" s="77" t="s">
        <v>333</v>
      </c>
      <c r="K15" s="16"/>
      <c r="L15" s="16"/>
      <c r="M15" s="16"/>
    </row>
    <row r="16" spans="1:13" ht="68.5" customHeight="1">
      <c r="A16" s="54" t="s">
        <v>297</v>
      </c>
      <c r="B16" s="56" t="s">
        <v>274</v>
      </c>
      <c r="C16" s="59" t="s">
        <v>22</v>
      </c>
      <c r="D16" s="59">
        <v>2</v>
      </c>
      <c r="E16" s="93"/>
      <c r="F16" s="93"/>
      <c r="G16" s="82"/>
      <c r="H16" s="59" t="s">
        <v>19</v>
      </c>
      <c r="I16" s="59" t="s">
        <v>331</v>
      </c>
      <c r="J16" s="60" t="s">
        <v>332</v>
      </c>
      <c r="K16" s="16"/>
      <c r="L16" s="16"/>
      <c r="M16" s="16"/>
    </row>
    <row r="17" spans="1:13" ht="33.9" customHeight="1">
      <c r="A17" s="55" t="s">
        <v>298</v>
      </c>
      <c r="B17" s="58" t="s">
        <v>16</v>
      </c>
      <c r="C17" s="25" t="s">
        <v>16</v>
      </c>
      <c r="D17" s="25">
        <f>SUM(D18:D20)</f>
        <v>12</v>
      </c>
      <c r="E17" s="25" t="s">
        <v>23</v>
      </c>
      <c r="F17" s="25" t="s">
        <v>26</v>
      </c>
      <c r="G17" s="25"/>
      <c r="H17" s="26" t="s">
        <v>288</v>
      </c>
      <c r="I17" s="50" t="s">
        <v>327</v>
      </c>
      <c r="J17" s="50" t="s">
        <v>341</v>
      </c>
      <c r="K17" s="16"/>
      <c r="L17" s="16"/>
      <c r="M17" s="16"/>
    </row>
    <row r="18" spans="1:13" ht="34" customHeight="1">
      <c r="A18" s="54" t="s">
        <v>299</v>
      </c>
      <c r="B18" s="57" t="s">
        <v>275</v>
      </c>
      <c r="C18" s="61" t="s">
        <v>20</v>
      </c>
      <c r="D18" s="61">
        <v>4</v>
      </c>
      <c r="E18" s="92" t="s">
        <v>17</v>
      </c>
      <c r="F18" s="92" t="s">
        <v>27</v>
      </c>
      <c r="G18" s="81" t="s">
        <v>234</v>
      </c>
      <c r="H18" s="61" t="s">
        <v>21</v>
      </c>
      <c r="I18" s="76" t="s">
        <v>331</v>
      </c>
      <c r="J18" s="77" t="s">
        <v>333</v>
      </c>
      <c r="K18" s="16"/>
      <c r="L18" s="16"/>
      <c r="M18" s="16"/>
    </row>
    <row r="19" spans="1:13" ht="34" customHeight="1">
      <c r="A19" s="54" t="s">
        <v>300</v>
      </c>
      <c r="B19" s="56" t="s">
        <v>316</v>
      </c>
      <c r="C19" s="59" t="s">
        <v>22</v>
      </c>
      <c r="D19" s="59">
        <v>6</v>
      </c>
      <c r="E19" s="93"/>
      <c r="F19" s="93"/>
      <c r="G19" s="82"/>
      <c r="H19" s="59" t="s">
        <v>19</v>
      </c>
      <c r="I19" s="59" t="s">
        <v>331</v>
      </c>
      <c r="J19" s="60" t="s">
        <v>332</v>
      </c>
      <c r="K19" s="16"/>
      <c r="L19" s="16"/>
      <c r="M19" s="16"/>
    </row>
    <row r="20" spans="1:13" ht="114.5" customHeight="1">
      <c r="A20" s="54" t="s">
        <v>301</v>
      </c>
      <c r="B20" s="57" t="s">
        <v>276</v>
      </c>
      <c r="C20" s="61" t="s">
        <v>22</v>
      </c>
      <c r="D20" s="61">
        <v>2</v>
      </c>
      <c r="E20" s="61" t="s">
        <v>24</v>
      </c>
      <c r="F20" s="61" t="s">
        <v>28</v>
      </c>
      <c r="G20" s="74" t="s">
        <v>343</v>
      </c>
      <c r="H20" s="61" t="s">
        <v>19</v>
      </c>
      <c r="I20" s="76" t="s">
        <v>331</v>
      </c>
      <c r="J20" s="77" t="s">
        <v>333</v>
      </c>
      <c r="K20" s="16"/>
      <c r="L20" s="16"/>
      <c r="M20" s="16"/>
    </row>
    <row r="21" spans="1:13" ht="30" customHeight="1">
      <c r="A21" s="55" t="s">
        <v>302</v>
      </c>
      <c r="B21" s="58" t="s">
        <v>16</v>
      </c>
      <c r="C21" s="25" t="s">
        <v>16</v>
      </c>
      <c r="D21" s="25">
        <f>SUM(D22:D25)</f>
        <v>10</v>
      </c>
      <c r="E21" s="25" t="s">
        <v>29</v>
      </c>
      <c r="F21" s="25" t="s">
        <v>30</v>
      </c>
      <c r="G21" s="25"/>
      <c r="H21" s="26" t="s">
        <v>31</v>
      </c>
      <c r="I21" s="50" t="s">
        <v>327</v>
      </c>
      <c r="J21" s="50" t="s">
        <v>341</v>
      </c>
      <c r="K21" s="16"/>
      <c r="L21" s="16"/>
      <c r="M21" s="16"/>
    </row>
    <row r="22" spans="1:13" ht="47" customHeight="1">
      <c r="A22" s="54" t="s">
        <v>303</v>
      </c>
      <c r="B22" s="57" t="s">
        <v>277</v>
      </c>
      <c r="C22" s="61" t="s">
        <v>20</v>
      </c>
      <c r="D22" s="61">
        <v>2</v>
      </c>
      <c r="E22" s="92" t="s">
        <v>29</v>
      </c>
      <c r="F22" s="92" t="s">
        <v>32</v>
      </c>
      <c r="G22" s="81" t="s">
        <v>239</v>
      </c>
      <c r="H22" s="61" t="s">
        <v>21</v>
      </c>
      <c r="I22" s="76" t="s">
        <v>331</v>
      </c>
      <c r="J22" s="77" t="s">
        <v>333</v>
      </c>
      <c r="K22" s="16"/>
      <c r="L22" s="16"/>
      <c r="M22" s="16"/>
    </row>
    <row r="23" spans="1:13" ht="35" customHeight="1">
      <c r="A23" s="54" t="s">
        <v>304</v>
      </c>
      <c r="B23" s="56" t="s">
        <v>278</v>
      </c>
      <c r="C23" s="59" t="s">
        <v>22</v>
      </c>
      <c r="D23" s="59">
        <v>2</v>
      </c>
      <c r="E23" s="93"/>
      <c r="F23" s="93"/>
      <c r="G23" s="82"/>
      <c r="H23" s="59" t="s">
        <v>19</v>
      </c>
      <c r="I23" s="59" t="s">
        <v>331</v>
      </c>
      <c r="J23" s="60" t="s">
        <v>333</v>
      </c>
      <c r="K23" s="16"/>
      <c r="L23" s="16"/>
      <c r="M23" s="16"/>
    </row>
    <row r="24" spans="1:13" ht="55.5" customHeight="1">
      <c r="A24" s="54" t="s">
        <v>305</v>
      </c>
      <c r="B24" s="57" t="s">
        <v>279</v>
      </c>
      <c r="C24" s="61" t="s">
        <v>20</v>
      </c>
      <c r="D24" s="61">
        <v>4</v>
      </c>
      <c r="E24" s="92" t="s">
        <v>29</v>
      </c>
      <c r="F24" s="92" t="s">
        <v>33</v>
      </c>
      <c r="G24" s="81" t="s">
        <v>243</v>
      </c>
      <c r="H24" s="61" t="s">
        <v>21</v>
      </c>
      <c r="I24" s="76" t="s">
        <v>331</v>
      </c>
      <c r="J24" s="77" t="s">
        <v>332</v>
      </c>
      <c r="K24" s="16"/>
      <c r="L24" s="16"/>
      <c r="M24" s="16"/>
    </row>
    <row r="25" spans="1:13" ht="33" customHeight="1">
      <c r="A25" s="54" t="s">
        <v>306</v>
      </c>
      <c r="B25" s="56" t="s">
        <v>280</v>
      </c>
      <c r="C25" s="59" t="s">
        <v>22</v>
      </c>
      <c r="D25" s="59">
        <v>2</v>
      </c>
      <c r="E25" s="93"/>
      <c r="F25" s="93"/>
      <c r="G25" s="82"/>
      <c r="H25" s="59" t="s">
        <v>21</v>
      </c>
      <c r="I25" s="59" t="s">
        <v>331</v>
      </c>
      <c r="J25" s="59" t="s">
        <v>333</v>
      </c>
      <c r="K25" s="16"/>
      <c r="L25" s="16"/>
      <c r="M25" s="16"/>
    </row>
    <row r="26" spans="1:13" ht="32.65" customHeight="1">
      <c r="A26" s="55" t="s">
        <v>307</v>
      </c>
      <c r="B26" s="58" t="s">
        <v>16</v>
      </c>
      <c r="C26" s="25" t="s">
        <v>16</v>
      </c>
      <c r="D26" s="25">
        <f>SUM(D27:D29)</f>
        <v>8</v>
      </c>
      <c r="E26" s="25" t="s">
        <v>24</v>
      </c>
      <c r="F26" s="25" t="s">
        <v>282</v>
      </c>
      <c r="G26" s="25"/>
      <c r="H26" s="26" t="s">
        <v>283</v>
      </c>
      <c r="I26" s="50" t="s">
        <v>327</v>
      </c>
      <c r="J26" s="50" t="s">
        <v>341</v>
      </c>
      <c r="K26" s="16"/>
      <c r="L26" s="16"/>
      <c r="M26" s="16"/>
    </row>
    <row r="27" spans="1:13" ht="68.5" customHeight="1">
      <c r="A27" s="54" t="s">
        <v>308</v>
      </c>
      <c r="B27" s="56" t="s">
        <v>281</v>
      </c>
      <c r="C27" s="59" t="s">
        <v>20</v>
      </c>
      <c r="D27" s="59">
        <v>4</v>
      </c>
      <c r="E27" s="59" t="s">
        <v>24</v>
      </c>
      <c r="F27" s="59" t="s">
        <v>25</v>
      </c>
      <c r="G27" s="78" t="s">
        <v>248</v>
      </c>
      <c r="H27" s="59" t="s">
        <v>21</v>
      </c>
      <c r="I27" s="59" t="s">
        <v>331</v>
      </c>
      <c r="J27" s="77" t="s">
        <v>333</v>
      </c>
      <c r="K27" s="16"/>
      <c r="L27" s="16"/>
      <c r="M27" s="16"/>
    </row>
    <row r="28" spans="1:13" ht="113.5" customHeight="1">
      <c r="A28" s="54" t="s">
        <v>309</v>
      </c>
      <c r="B28" s="56" t="s">
        <v>329</v>
      </c>
      <c r="C28" s="59" t="s">
        <v>22</v>
      </c>
      <c r="D28" s="59">
        <v>2</v>
      </c>
      <c r="E28" s="59" t="s">
        <v>24</v>
      </c>
      <c r="F28" s="64" t="s">
        <v>34</v>
      </c>
      <c r="G28" s="79" t="s">
        <v>253</v>
      </c>
      <c r="H28" s="59" t="s">
        <v>21</v>
      </c>
      <c r="I28" s="59" t="s">
        <v>331</v>
      </c>
      <c r="J28" s="77" t="s">
        <v>333</v>
      </c>
      <c r="K28" s="16"/>
      <c r="L28" s="16"/>
      <c r="M28" s="16"/>
    </row>
    <row r="29" spans="1:13" ht="115.5" customHeight="1">
      <c r="A29" s="54" t="s">
        <v>310</v>
      </c>
      <c r="B29" s="57" t="s">
        <v>287</v>
      </c>
      <c r="C29" s="61" t="s">
        <v>22</v>
      </c>
      <c r="D29" s="61">
        <v>2</v>
      </c>
      <c r="E29" s="61" t="s">
        <v>24</v>
      </c>
      <c r="F29" s="65" t="s">
        <v>28</v>
      </c>
      <c r="G29" s="80" t="s">
        <v>257</v>
      </c>
      <c r="H29" s="61" t="s">
        <v>19</v>
      </c>
      <c r="I29" s="76" t="s">
        <v>331</v>
      </c>
      <c r="J29" s="76" t="s">
        <v>333</v>
      </c>
      <c r="K29" s="16"/>
      <c r="L29" s="16"/>
      <c r="M29" s="16"/>
    </row>
    <row r="30" spans="1:13" ht="29.25" customHeight="1">
      <c r="A30" s="55" t="s">
        <v>311</v>
      </c>
      <c r="B30" s="58" t="s">
        <v>16</v>
      </c>
      <c r="C30" s="25" t="s">
        <v>16</v>
      </c>
      <c r="D30" s="25">
        <f>SUM(D31:D35)</f>
        <v>16</v>
      </c>
      <c r="E30" s="25" t="s">
        <v>24</v>
      </c>
      <c r="F30" s="25" t="s">
        <v>28</v>
      </c>
      <c r="G30" s="25"/>
      <c r="H30" s="26" t="s">
        <v>19</v>
      </c>
      <c r="I30" s="50" t="s">
        <v>327</v>
      </c>
      <c r="J30" s="50"/>
      <c r="K30" s="16"/>
      <c r="L30" s="16"/>
      <c r="M30" s="16"/>
    </row>
    <row r="31" spans="1:13" ht="63" customHeight="1">
      <c r="A31" s="54" t="s">
        <v>312</v>
      </c>
      <c r="B31" s="56" t="s">
        <v>284</v>
      </c>
      <c r="C31" s="59" t="s">
        <v>20</v>
      </c>
      <c r="D31" s="59">
        <v>4</v>
      </c>
      <c r="E31" s="83" t="s">
        <v>24</v>
      </c>
      <c r="F31" s="83" t="s">
        <v>28</v>
      </c>
      <c r="G31" s="86" t="s">
        <v>257</v>
      </c>
      <c r="H31" s="59" t="s">
        <v>21</v>
      </c>
      <c r="I31" s="59" t="s">
        <v>331</v>
      </c>
      <c r="J31" s="60" t="s">
        <v>333</v>
      </c>
      <c r="K31" s="16"/>
      <c r="L31" s="16"/>
      <c r="M31" s="16"/>
    </row>
    <row r="32" spans="1:13" ht="44.5" customHeight="1">
      <c r="A32" s="54" t="s">
        <v>313</v>
      </c>
      <c r="B32" s="57" t="s">
        <v>285</v>
      </c>
      <c r="C32" s="61" t="s">
        <v>22</v>
      </c>
      <c r="D32" s="61">
        <v>4</v>
      </c>
      <c r="E32" s="84"/>
      <c r="F32" s="84"/>
      <c r="G32" s="87"/>
      <c r="H32" s="61" t="s">
        <v>19</v>
      </c>
      <c r="I32" s="61" t="s">
        <v>331</v>
      </c>
      <c r="J32" s="62" t="s">
        <v>333</v>
      </c>
      <c r="K32" s="16"/>
      <c r="L32" s="16"/>
      <c r="M32" s="16"/>
    </row>
    <row r="33" spans="1:13" ht="29.5" customHeight="1">
      <c r="A33" s="101" t="s">
        <v>314</v>
      </c>
      <c r="B33" s="90" t="s">
        <v>286</v>
      </c>
      <c r="C33" s="59" t="s">
        <v>20</v>
      </c>
      <c r="D33" s="59">
        <v>4</v>
      </c>
      <c r="E33" s="84"/>
      <c r="F33" s="84"/>
      <c r="G33" s="87"/>
      <c r="H33" s="59" t="s">
        <v>21</v>
      </c>
      <c r="I33" s="59" t="s">
        <v>331</v>
      </c>
      <c r="J33" s="60" t="s">
        <v>333</v>
      </c>
      <c r="K33" s="16"/>
      <c r="L33" s="16"/>
      <c r="M33" s="16"/>
    </row>
    <row r="34" spans="1:13" ht="29.5" customHeight="1">
      <c r="A34" s="102"/>
      <c r="B34" s="91"/>
      <c r="C34" s="59" t="s">
        <v>22</v>
      </c>
      <c r="D34" s="59">
        <v>2</v>
      </c>
      <c r="E34" s="84"/>
      <c r="F34" s="84"/>
      <c r="G34" s="87"/>
      <c r="H34" s="61" t="s">
        <v>21</v>
      </c>
      <c r="I34" s="61" t="s">
        <v>331</v>
      </c>
      <c r="J34" s="61" t="s">
        <v>332</v>
      </c>
      <c r="K34" s="16"/>
      <c r="L34" s="16"/>
      <c r="M34" s="16"/>
    </row>
    <row r="35" spans="1:13" ht="43.15" customHeight="1">
      <c r="A35" s="54" t="s">
        <v>315</v>
      </c>
      <c r="B35" s="57" t="s">
        <v>35</v>
      </c>
      <c r="C35" s="61" t="s">
        <v>22</v>
      </c>
      <c r="D35" s="61">
        <v>2</v>
      </c>
      <c r="E35" s="85"/>
      <c r="F35" s="85"/>
      <c r="G35" s="88"/>
      <c r="H35" s="59" t="s">
        <v>19</v>
      </c>
      <c r="I35" s="59" t="s">
        <v>331</v>
      </c>
      <c r="J35" s="60" t="s">
        <v>332</v>
      </c>
      <c r="K35" s="16"/>
      <c r="L35" s="16"/>
      <c r="M35" s="16"/>
    </row>
    <row r="36" spans="1:13" ht="66.75" customHeight="1">
      <c r="A36" s="27" t="s">
        <v>36</v>
      </c>
      <c r="B36" s="28" t="s">
        <v>37</v>
      </c>
      <c r="C36" s="29" t="s">
        <v>38</v>
      </c>
      <c r="D36" s="29" t="s">
        <v>16</v>
      </c>
      <c r="E36" s="29" t="s">
        <v>39</v>
      </c>
      <c r="F36" s="29" t="s">
        <v>40</v>
      </c>
      <c r="G36" s="29"/>
      <c r="H36" s="30"/>
      <c r="I36" s="30" t="s">
        <v>344</v>
      </c>
      <c r="J36" s="51" t="s">
        <v>345</v>
      </c>
      <c r="K36" s="16"/>
      <c r="L36" s="16"/>
      <c r="M36" s="16"/>
    </row>
    <row r="37" spans="1:13" ht="14.5">
      <c r="A37" s="31" t="s">
        <v>41</v>
      </c>
      <c r="B37" s="32"/>
      <c r="C37" s="33" t="s">
        <v>42</v>
      </c>
      <c r="D37" s="33">
        <f>SUMIF(C6:C35,"Л",D6:D35)+SUMIF(C6:C35,"П",D6:D35)</f>
        <v>64</v>
      </c>
      <c r="E37" s="33"/>
      <c r="F37" s="33"/>
      <c r="G37" s="33"/>
      <c r="H37" s="34"/>
      <c r="I37" s="52"/>
      <c r="J37" s="52"/>
      <c r="K37" s="16"/>
      <c r="L37" s="16"/>
      <c r="M37" s="16"/>
    </row>
    <row r="38" spans="1:13" ht="14.5">
      <c r="A38" s="35" t="s">
        <v>43</v>
      </c>
      <c r="B38" s="36"/>
      <c r="C38" s="37" t="s">
        <v>20</v>
      </c>
      <c r="D38" s="37">
        <f>SUMIF(C6:C35,"Л",D6:D35)</f>
        <v>32</v>
      </c>
      <c r="E38" s="37"/>
      <c r="F38" s="37"/>
      <c r="G38" s="37"/>
      <c r="H38" s="38"/>
      <c r="I38" s="53"/>
      <c r="J38" s="53"/>
      <c r="K38" s="16"/>
      <c r="L38" s="16"/>
      <c r="M38" s="16"/>
    </row>
    <row r="39" spans="1:13" ht="14.5">
      <c r="A39" s="35" t="s">
        <v>44</v>
      </c>
      <c r="B39" s="36"/>
      <c r="C39" s="37" t="s">
        <v>22</v>
      </c>
      <c r="D39" s="37">
        <f>SUMIF(C6:C35,"П",D6:D35)</f>
        <v>32</v>
      </c>
      <c r="E39" s="37"/>
      <c r="F39" s="37"/>
      <c r="G39" s="37"/>
      <c r="H39" s="38"/>
      <c r="I39" s="53"/>
      <c r="J39" s="53"/>
      <c r="K39" s="16"/>
      <c r="L39" s="16"/>
      <c r="M39" s="16"/>
    </row>
  </sheetData>
  <mergeCells count="30">
    <mergeCell ref="E7:E10"/>
    <mergeCell ref="F7:F10"/>
    <mergeCell ref="G7:G10"/>
    <mergeCell ref="B33:B34"/>
    <mergeCell ref="I9:I10"/>
    <mergeCell ref="J9:J10"/>
    <mergeCell ref="E13:E16"/>
    <mergeCell ref="F13:F16"/>
    <mergeCell ref="G13:G16"/>
    <mergeCell ref="E18:E19"/>
    <mergeCell ref="F18:F19"/>
    <mergeCell ref="G18:G19"/>
    <mergeCell ref="E22:E23"/>
    <mergeCell ref="F22:F23"/>
    <mergeCell ref="G22:G23"/>
    <mergeCell ref="E24:E25"/>
    <mergeCell ref="F24:F25"/>
    <mergeCell ref="H9:H10"/>
    <mergeCell ref="G24:G25"/>
    <mergeCell ref="E31:E35"/>
    <mergeCell ref="F31:F35"/>
    <mergeCell ref="G31:G35"/>
    <mergeCell ref="L1:M1"/>
    <mergeCell ref="A1:H1"/>
    <mergeCell ref="A2:H2"/>
    <mergeCell ref="A3:H3"/>
    <mergeCell ref="A4:H4"/>
    <mergeCell ref="A33:A34"/>
    <mergeCell ref="A9:A10"/>
    <mergeCell ref="B9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>
      <selection activeCell="F29" sqref="F29:H36"/>
    </sheetView>
  </sheetViews>
  <sheetFormatPr defaultRowHeight="14"/>
  <cols>
    <col min="1" max="1" width="15" customWidth="1"/>
    <col min="2" max="2" width="36" customWidth="1"/>
    <col min="3" max="4" width="14" customWidth="1"/>
    <col min="5" max="5" width="15" customWidth="1"/>
    <col min="6" max="8" width="22" customWidth="1"/>
  </cols>
  <sheetData>
    <row r="1" spans="1:8" ht="17" customHeight="1">
      <c r="A1" s="107" t="s">
        <v>45</v>
      </c>
      <c r="B1" s="107"/>
      <c r="C1" s="107"/>
      <c r="D1" s="107"/>
      <c r="E1" s="107"/>
      <c r="F1" s="107"/>
      <c r="G1" s="107"/>
      <c r="H1" s="107"/>
    </row>
    <row r="2" spans="1:8" ht="16" customHeight="1">
      <c r="A2" s="108" t="s">
        <v>46</v>
      </c>
      <c r="B2" s="108"/>
      <c r="C2" s="108"/>
      <c r="D2" s="108"/>
      <c r="E2" s="108"/>
      <c r="F2" s="108"/>
      <c r="G2" s="108"/>
      <c r="H2" s="108"/>
    </row>
    <row r="4" spans="1:8">
      <c r="A4" s="109" t="s">
        <v>47</v>
      </c>
      <c r="B4" s="110"/>
      <c r="C4" s="109" t="s">
        <v>48</v>
      </c>
      <c r="D4" s="110"/>
      <c r="E4" s="109" t="s">
        <v>49</v>
      </c>
      <c r="F4" s="110"/>
      <c r="G4" s="109" t="s">
        <v>50</v>
      </c>
      <c r="H4" s="110"/>
    </row>
    <row r="5" spans="1:8">
      <c r="A5" s="111" t="s">
        <v>51</v>
      </c>
      <c r="B5" s="112"/>
      <c r="C5" s="111" t="s">
        <v>52</v>
      </c>
      <c r="D5" s="112"/>
      <c r="E5" s="111" t="s">
        <v>53</v>
      </c>
      <c r="F5" s="112"/>
      <c r="G5" s="111" t="s">
        <v>54</v>
      </c>
      <c r="H5" s="112"/>
    </row>
    <row r="6" spans="1:8">
      <c r="A6" s="113"/>
      <c r="B6" s="114"/>
      <c r="C6" s="113"/>
      <c r="D6" s="114"/>
      <c r="E6" s="113"/>
      <c r="F6" s="114"/>
      <c r="G6" s="113"/>
      <c r="H6" s="114"/>
    </row>
    <row r="8" spans="1:8" ht="15.5">
      <c r="A8" s="115" t="s">
        <v>55</v>
      </c>
      <c r="B8" s="115"/>
      <c r="C8" s="115"/>
      <c r="D8" s="115"/>
      <c r="E8" s="115"/>
      <c r="F8" s="115"/>
      <c r="G8" s="115"/>
      <c r="H8" s="115"/>
    </row>
    <row r="9" spans="1:8">
      <c r="A9" s="116" t="s">
        <v>56</v>
      </c>
      <c r="B9" s="117"/>
      <c r="C9" s="117"/>
      <c r="D9" s="117"/>
      <c r="E9" s="117"/>
      <c r="F9" s="117"/>
      <c r="G9" s="117"/>
      <c r="H9" s="118"/>
    </row>
    <row r="10" spans="1:8">
      <c r="A10" s="119"/>
      <c r="B10" s="120"/>
      <c r="C10" s="120"/>
      <c r="D10" s="120"/>
      <c r="E10" s="120"/>
      <c r="F10" s="120"/>
      <c r="G10" s="120"/>
      <c r="H10" s="121"/>
    </row>
    <row r="11" spans="1:8">
      <c r="A11" s="122"/>
      <c r="B11" s="123"/>
      <c r="C11" s="123"/>
      <c r="D11" s="123"/>
      <c r="E11" s="123"/>
      <c r="F11" s="123"/>
      <c r="G11" s="123"/>
      <c r="H11" s="124"/>
    </row>
    <row r="13" spans="1:8" ht="15.5">
      <c r="A13" s="115" t="s">
        <v>57</v>
      </c>
      <c r="B13" s="115"/>
      <c r="C13" s="115"/>
      <c r="D13" s="115"/>
      <c r="E13" s="115"/>
      <c r="F13" s="115"/>
      <c r="G13" s="115"/>
      <c r="H13" s="115"/>
    </row>
    <row r="14" spans="1:8" ht="17" customHeight="1">
      <c r="A14" s="39" t="s">
        <v>51</v>
      </c>
      <c r="B14" s="125" t="s">
        <v>58</v>
      </c>
      <c r="C14" s="126"/>
      <c r="D14" s="126"/>
      <c r="E14" s="126"/>
      <c r="F14" s="126"/>
      <c r="G14" s="126"/>
      <c r="H14" s="127"/>
    </row>
    <row r="15" spans="1:8" ht="17" customHeight="1">
      <c r="A15" s="39" t="s">
        <v>59</v>
      </c>
      <c r="B15" s="128" t="s">
        <v>60</v>
      </c>
      <c r="C15" s="129"/>
      <c r="D15" s="129"/>
      <c r="E15" s="129"/>
      <c r="F15" s="129"/>
      <c r="G15" s="129"/>
      <c r="H15" s="130"/>
    </row>
    <row r="16" spans="1:8" ht="17" customHeight="1">
      <c r="A16" s="39" t="s">
        <v>61</v>
      </c>
      <c r="B16" s="125" t="s">
        <v>62</v>
      </c>
      <c r="C16" s="126"/>
      <c r="D16" s="126"/>
      <c r="E16" s="126"/>
      <c r="F16" s="126"/>
      <c r="G16" s="126"/>
      <c r="H16" s="127"/>
    </row>
    <row r="17" spans="1:8" ht="17" customHeight="1">
      <c r="A17" s="39" t="s">
        <v>63</v>
      </c>
      <c r="B17" s="128" t="s">
        <v>64</v>
      </c>
      <c r="C17" s="129"/>
      <c r="D17" s="129"/>
      <c r="E17" s="129"/>
      <c r="F17" s="129"/>
      <c r="G17" s="129"/>
      <c r="H17" s="130"/>
    </row>
    <row r="18" spans="1:8" ht="17" customHeight="1">
      <c r="A18" s="39" t="s">
        <v>65</v>
      </c>
      <c r="B18" s="125" t="s">
        <v>66</v>
      </c>
      <c r="C18" s="126"/>
      <c r="D18" s="126"/>
      <c r="E18" s="126"/>
      <c r="F18" s="126"/>
      <c r="G18" s="126"/>
      <c r="H18" s="127"/>
    </row>
    <row r="19" spans="1:8" ht="17" customHeight="1">
      <c r="A19" s="39" t="s">
        <v>67</v>
      </c>
      <c r="B19" s="128" t="s">
        <v>68</v>
      </c>
      <c r="C19" s="129"/>
      <c r="D19" s="129"/>
      <c r="E19" s="129"/>
      <c r="F19" s="129"/>
      <c r="G19" s="129"/>
      <c r="H19" s="130"/>
    </row>
    <row r="21" spans="1:8" ht="15.5">
      <c r="A21" s="115" t="s">
        <v>69</v>
      </c>
      <c r="B21" s="115"/>
      <c r="C21" s="115"/>
      <c r="D21" s="115"/>
      <c r="E21" s="115"/>
      <c r="F21" s="115"/>
      <c r="G21" s="115"/>
      <c r="H21" s="115"/>
    </row>
    <row r="22" spans="1:8" ht="28">
      <c r="A22" s="1" t="s">
        <v>70</v>
      </c>
      <c r="B22" s="2" t="s">
        <v>17</v>
      </c>
      <c r="C22" s="2" t="s">
        <v>29</v>
      </c>
      <c r="D22" s="2" t="s">
        <v>24</v>
      </c>
      <c r="E22" s="131" t="s">
        <v>71</v>
      </c>
      <c r="F22" s="131"/>
      <c r="G22" s="131"/>
      <c r="H22" s="110"/>
    </row>
    <row r="23" spans="1:8" ht="23" customHeight="1">
      <c r="A23" s="10" t="s">
        <v>72</v>
      </c>
      <c r="B23" s="15" t="s">
        <v>19</v>
      </c>
      <c r="C23" s="15" t="s">
        <v>19</v>
      </c>
      <c r="D23" s="15" t="s">
        <v>22</v>
      </c>
      <c r="E23" s="132" t="s">
        <v>73</v>
      </c>
      <c r="F23" s="132"/>
      <c r="G23" s="132"/>
      <c r="H23" s="133"/>
    </row>
    <row r="24" spans="1:8" ht="23" customHeight="1">
      <c r="A24" s="4" t="s">
        <v>74</v>
      </c>
      <c r="B24" s="9" t="s">
        <v>19</v>
      </c>
      <c r="C24" s="9" t="s">
        <v>21</v>
      </c>
      <c r="D24" s="9" t="s">
        <v>19</v>
      </c>
      <c r="E24" s="134" t="s">
        <v>75</v>
      </c>
      <c r="F24" s="134"/>
      <c r="G24" s="134"/>
      <c r="H24" s="135"/>
    </row>
    <row r="25" spans="1:8" ht="23" customHeight="1">
      <c r="A25" s="10" t="s">
        <v>76</v>
      </c>
      <c r="B25" s="15" t="s">
        <v>22</v>
      </c>
      <c r="C25" s="15" t="s">
        <v>22</v>
      </c>
      <c r="D25" s="15" t="s">
        <v>19</v>
      </c>
      <c r="E25" s="132" t="s">
        <v>77</v>
      </c>
      <c r="F25" s="132"/>
      <c r="G25" s="132"/>
      <c r="H25" s="133"/>
    </row>
    <row r="26" spans="1:8" ht="40.5" customHeight="1">
      <c r="A26" s="4" t="s">
        <v>78</v>
      </c>
      <c r="B26" s="9" t="s">
        <v>19</v>
      </c>
      <c r="C26" s="9" t="s">
        <v>21</v>
      </c>
      <c r="D26" s="9" t="s">
        <v>19</v>
      </c>
      <c r="E26" s="134" t="s">
        <v>79</v>
      </c>
      <c r="F26" s="134"/>
      <c r="G26" s="134"/>
      <c r="H26" s="135"/>
    </row>
    <row r="28" spans="1:8" ht="15.5">
      <c r="A28" s="115" t="s">
        <v>80</v>
      </c>
      <c r="B28" s="115"/>
      <c r="C28" s="115"/>
      <c r="D28" s="115"/>
      <c r="E28" s="115"/>
      <c r="F28" s="115"/>
      <c r="G28" s="115"/>
      <c r="H28" s="115"/>
    </row>
    <row r="29" spans="1:8" ht="28">
      <c r="A29" s="1" t="s">
        <v>81</v>
      </c>
      <c r="B29" s="2" t="s">
        <v>82</v>
      </c>
      <c r="C29" s="2" t="s">
        <v>12</v>
      </c>
      <c r="D29" s="2" t="s">
        <v>13</v>
      </c>
      <c r="E29" s="2" t="s">
        <v>83</v>
      </c>
      <c r="F29" s="131"/>
      <c r="G29" s="131"/>
      <c r="H29" s="110"/>
    </row>
    <row r="30" spans="1:8" ht="53.5" customHeight="1">
      <c r="A30" s="40" t="s">
        <v>84</v>
      </c>
      <c r="B30" s="11" t="s">
        <v>85</v>
      </c>
      <c r="C30" s="13" t="s">
        <v>17</v>
      </c>
      <c r="D30" s="13" t="s">
        <v>18</v>
      </c>
      <c r="E30" s="13" t="s">
        <v>19</v>
      </c>
      <c r="F30" s="132"/>
      <c r="G30" s="132"/>
      <c r="H30" s="133"/>
    </row>
    <row r="31" spans="1:8" ht="32" customHeight="1">
      <c r="A31" s="41" t="s">
        <v>86</v>
      </c>
      <c r="B31" s="5" t="s">
        <v>87</v>
      </c>
      <c r="C31" s="7" t="s">
        <v>17</v>
      </c>
      <c r="D31" s="7" t="s">
        <v>18</v>
      </c>
      <c r="E31" s="7" t="s">
        <v>19</v>
      </c>
      <c r="F31" s="134"/>
      <c r="G31" s="134"/>
      <c r="H31" s="135"/>
    </row>
    <row r="32" spans="1:8" ht="32" customHeight="1">
      <c r="A32" s="40" t="s">
        <v>88</v>
      </c>
      <c r="B32" s="11" t="s">
        <v>89</v>
      </c>
      <c r="C32" s="13" t="s">
        <v>17</v>
      </c>
      <c r="D32" s="13" t="s">
        <v>27</v>
      </c>
      <c r="E32" s="13" t="s">
        <v>19</v>
      </c>
      <c r="F32" s="132"/>
      <c r="G32" s="132"/>
      <c r="H32" s="133"/>
    </row>
    <row r="33" spans="1:8" ht="32" customHeight="1">
      <c r="A33" s="41" t="s">
        <v>90</v>
      </c>
      <c r="B33" s="5" t="s">
        <v>91</v>
      </c>
      <c r="C33" s="7" t="s">
        <v>29</v>
      </c>
      <c r="D33" s="7" t="s">
        <v>30</v>
      </c>
      <c r="E33" s="7" t="s">
        <v>31</v>
      </c>
      <c r="F33" s="134"/>
      <c r="G33" s="134"/>
      <c r="H33" s="135"/>
    </row>
    <row r="34" spans="1:8" ht="32" customHeight="1">
      <c r="A34" s="40" t="s">
        <v>92</v>
      </c>
      <c r="B34" s="11" t="s">
        <v>93</v>
      </c>
      <c r="C34" s="13" t="s">
        <v>24</v>
      </c>
      <c r="D34" s="13" t="s">
        <v>25</v>
      </c>
      <c r="E34" s="13" t="s">
        <v>19</v>
      </c>
      <c r="F34" s="132"/>
      <c r="G34" s="132"/>
      <c r="H34" s="133"/>
    </row>
    <row r="35" spans="1:8" ht="32" customHeight="1">
      <c r="A35" s="41" t="s">
        <v>94</v>
      </c>
      <c r="B35" s="5" t="s">
        <v>95</v>
      </c>
      <c r="C35" s="7" t="s">
        <v>24</v>
      </c>
      <c r="D35" s="7" t="s">
        <v>34</v>
      </c>
      <c r="E35" s="7" t="s">
        <v>21</v>
      </c>
      <c r="F35" s="134"/>
      <c r="G35" s="134"/>
      <c r="H35" s="135"/>
    </row>
    <row r="36" spans="1:8" ht="32" customHeight="1">
      <c r="A36" s="40" t="s">
        <v>96</v>
      </c>
      <c r="B36" s="11" t="s">
        <v>97</v>
      </c>
      <c r="C36" s="13" t="s">
        <v>24</v>
      </c>
      <c r="D36" s="13" t="s">
        <v>28</v>
      </c>
      <c r="E36" s="13" t="s">
        <v>19</v>
      </c>
      <c r="F36" s="132"/>
      <c r="G36" s="132"/>
      <c r="H36" s="133"/>
    </row>
    <row r="38" spans="1:8" ht="15.5">
      <c r="A38" s="115" t="s">
        <v>98</v>
      </c>
      <c r="B38" s="115"/>
      <c r="C38" s="115"/>
      <c r="D38" s="115"/>
      <c r="E38" s="115"/>
      <c r="F38" s="115"/>
      <c r="G38" s="115"/>
      <c r="H38" s="115"/>
    </row>
    <row r="39" spans="1:8">
      <c r="A39" s="136" t="s">
        <v>99</v>
      </c>
      <c r="B39" s="137"/>
      <c r="C39" s="137"/>
      <c r="D39" s="137"/>
      <c r="E39" s="137"/>
      <c r="F39" s="137"/>
      <c r="G39" s="137"/>
      <c r="H39" s="138"/>
    </row>
    <row r="40" spans="1:8">
      <c r="A40" s="139"/>
      <c r="B40" s="140"/>
      <c r="C40" s="140"/>
      <c r="D40" s="140"/>
      <c r="E40" s="140"/>
      <c r="F40" s="140"/>
      <c r="G40" s="140"/>
      <c r="H40" s="141"/>
    </row>
    <row r="41" spans="1:8">
      <c r="A41" s="139"/>
      <c r="B41" s="140"/>
      <c r="C41" s="140"/>
      <c r="D41" s="140"/>
      <c r="E41" s="140"/>
      <c r="F41" s="140"/>
      <c r="G41" s="140"/>
      <c r="H41" s="141"/>
    </row>
    <row r="42" spans="1:8">
      <c r="A42" s="142"/>
      <c r="B42" s="143"/>
      <c r="C42" s="143"/>
      <c r="D42" s="143"/>
      <c r="E42" s="143"/>
      <c r="F42" s="143"/>
      <c r="G42" s="143"/>
      <c r="H42" s="144"/>
    </row>
    <row r="44" spans="1:8" ht="15.5">
      <c r="A44" s="115" t="s">
        <v>100</v>
      </c>
      <c r="B44" s="115"/>
      <c r="C44" s="115"/>
      <c r="D44" s="115"/>
      <c r="E44" s="115"/>
      <c r="F44" s="115"/>
      <c r="G44" s="115"/>
      <c r="H44" s="115"/>
    </row>
    <row r="45" spans="1:8">
      <c r="A45" s="136" t="s">
        <v>101</v>
      </c>
      <c r="B45" s="137"/>
      <c r="C45" s="137"/>
      <c r="D45" s="137"/>
      <c r="E45" s="137"/>
      <c r="F45" s="137"/>
      <c r="G45" s="137"/>
      <c r="H45" s="138"/>
    </row>
    <row r="46" spans="1:8">
      <c r="A46" s="139"/>
      <c r="B46" s="140"/>
      <c r="C46" s="140"/>
      <c r="D46" s="140"/>
      <c r="E46" s="140"/>
      <c r="F46" s="140"/>
      <c r="G46" s="140"/>
      <c r="H46" s="141"/>
    </row>
    <row r="47" spans="1:8">
      <c r="A47" s="142"/>
      <c r="B47" s="143"/>
      <c r="C47" s="143"/>
      <c r="D47" s="143"/>
      <c r="E47" s="143"/>
      <c r="F47" s="143"/>
      <c r="G47" s="143"/>
      <c r="H47" s="144"/>
    </row>
  </sheetData>
  <mergeCells count="38">
    <mergeCell ref="A39:H42"/>
    <mergeCell ref="A44:H44"/>
    <mergeCell ref="A45:H47"/>
    <mergeCell ref="F33:H33"/>
    <mergeCell ref="F34:H34"/>
    <mergeCell ref="F35:H35"/>
    <mergeCell ref="F36:H36"/>
    <mergeCell ref="A38:H38"/>
    <mergeCell ref="A28:H28"/>
    <mergeCell ref="F29:H29"/>
    <mergeCell ref="F30:H30"/>
    <mergeCell ref="F31:H31"/>
    <mergeCell ref="F32:H32"/>
    <mergeCell ref="E22:H22"/>
    <mergeCell ref="E23:H23"/>
    <mergeCell ref="E24:H24"/>
    <mergeCell ref="E25:H25"/>
    <mergeCell ref="E26:H26"/>
    <mergeCell ref="B16:H16"/>
    <mergeCell ref="B17:H17"/>
    <mergeCell ref="B18:H18"/>
    <mergeCell ref="B19:H19"/>
    <mergeCell ref="A21:H21"/>
    <mergeCell ref="A8:H8"/>
    <mergeCell ref="A9:H11"/>
    <mergeCell ref="A13:H13"/>
    <mergeCell ref="B14:H14"/>
    <mergeCell ref="B15:H15"/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topLeftCell="A9" workbookViewId="0">
      <selection activeCell="I16" sqref="I16"/>
    </sheetView>
  </sheetViews>
  <sheetFormatPr defaultRowHeight="14"/>
  <cols>
    <col min="1" max="1" width="15.33203125" customWidth="1"/>
    <col min="2" max="2" width="34" customWidth="1"/>
    <col min="3" max="3" width="12.5" customWidth="1"/>
    <col min="4" max="4" width="13.33203125" customWidth="1"/>
    <col min="5" max="5" width="14.83203125" customWidth="1"/>
    <col min="6" max="6" width="15.6640625" customWidth="1"/>
    <col min="7" max="7" width="24.9140625" customWidth="1"/>
  </cols>
  <sheetData>
    <row r="1" spans="1:7" ht="17" customHeight="1">
      <c r="A1" s="107" t="s">
        <v>102</v>
      </c>
      <c r="B1" s="107"/>
      <c r="C1" s="107"/>
      <c r="D1" s="107"/>
      <c r="E1" s="107"/>
      <c r="F1" s="107"/>
      <c r="G1" s="107"/>
    </row>
    <row r="3" spans="1:7" ht="15.5">
      <c r="A3" s="115" t="s">
        <v>103</v>
      </c>
      <c r="B3" s="115"/>
      <c r="C3" s="115"/>
      <c r="D3" s="115"/>
      <c r="E3" s="115"/>
      <c r="F3" s="115"/>
      <c r="G3" s="115"/>
    </row>
    <row r="4" spans="1:7" ht="28">
      <c r="A4" s="1" t="s">
        <v>104</v>
      </c>
      <c r="B4" s="2" t="s">
        <v>105</v>
      </c>
      <c r="C4" s="2" t="s">
        <v>106</v>
      </c>
      <c r="D4" s="131" t="s">
        <v>107</v>
      </c>
      <c r="E4" s="131"/>
      <c r="F4" s="131"/>
      <c r="G4" s="110"/>
    </row>
    <row r="5" spans="1:7" ht="32" customHeight="1">
      <c r="A5" s="10" t="s">
        <v>108</v>
      </c>
      <c r="B5" s="11" t="s">
        <v>109</v>
      </c>
      <c r="C5" s="13" t="s">
        <v>110</v>
      </c>
      <c r="D5" s="132" t="s">
        <v>111</v>
      </c>
      <c r="E5" s="132"/>
      <c r="F5" s="132"/>
      <c r="G5" s="133"/>
    </row>
    <row r="6" spans="1:7" ht="48" customHeight="1">
      <c r="A6" s="4" t="s">
        <v>112</v>
      </c>
      <c r="B6" s="5" t="s">
        <v>113</v>
      </c>
      <c r="C6" s="7" t="s">
        <v>110</v>
      </c>
      <c r="D6" s="134" t="s">
        <v>114</v>
      </c>
      <c r="E6" s="134"/>
      <c r="F6" s="134"/>
      <c r="G6" s="135"/>
    </row>
    <row r="7" spans="1:7" ht="42.5" customHeight="1">
      <c r="A7" s="10" t="s">
        <v>115</v>
      </c>
      <c r="B7" s="11" t="s">
        <v>116</v>
      </c>
      <c r="C7" s="13" t="s">
        <v>110</v>
      </c>
      <c r="D7" s="132" t="s">
        <v>117</v>
      </c>
      <c r="E7" s="132"/>
      <c r="F7" s="132"/>
      <c r="G7" s="133"/>
    </row>
    <row r="8" spans="1:7" ht="52" customHeight="1">
      <c r="A8" s="4" t="s">
        <v>317</v>
      </c>
      <c r="B8" s="5" t="s">
        <v>118</v>
      </c>
      <c r="C8" s="7" t="s">
        <v>110</v>
      </c>
      <c r="D8" s="134" t="s">
        <v>119</v>
      </c>
      <c r="E8" s="134"/>
      <c r="F8" s="134"/>
      <c r="G8" s="135"/>
    </row>
    <row r="10" spans="1:7" ht="15.5">
      <c r="A10" s="115" t="s">
        <v>120</v>
      </c>
      <c r="B10" s="115"/>
      <c r="C10" s="115"/>
      <c r="D10" s="115"/>
      <c r="E10" s="115"/>
      <c r="F10" s="115"/>
      <c r="G10" s="115"/>
    </row>
    <row r="11" spans="1:7" ht="25.5" customHeight="1">
      <c r="A11" s="1" t="s">
        <v>121</v>
      </c>
      <c r="B11" s="2" t="s">
        <v>122</v>
      </c>
      <c r="C11" s="2" t="s">
        <v>123</v>
      </c>
      <c r="D11" s="131" t="s">
        <v>326</v>
      </c>
      <c r="E11" s="131"/>
      <c r="F11" s="131"/>
      <c r="G11" s="110"/>
    </row>
    <row r="12" spans="1:7" ht="46" customHeight="1">
      <c r="A12" s="66" t="s">
        <v>124</v>
      </c>
      <c r="B12" s="67" t="s">
        <v>320</v>
      </c>
      <c r="C12" s="66" t="s">
        <v>325</v>
      </c>
      <c r="D12" s="145" t="s">
        <v>324</v>
      </c>
      <c r="E12" s="145"/>
      <c r="F12" s="145"/>
      <c r="G12" s="146"/>
    </row>
    <row r="13" spans="1:7" ht="58" customHeight="1">
      <c r="A13" s="66" t="s">
        <v>124</v>
      </c>
      <c r="B13" s="67" t="s">
        <v>346</v>
      </c>
      <c r="C13" s="66" t="s">
        <v>322</v>
      </c>
      <c r="D13" s="145" t="s">
        <v>338</v>
      </c>
      <c r="E13" s="145"/>
      <c r="F13" s="145"/>
      <c r="G13" s="146"/>
    </row>
    <row r="14" spans="1:7" ht="31" customHeight="1">
      <c r="A14" s="66" t="s">
        <v>124</v>
      </c>
      <c r="B14" s="67" t="s">
        <v>112</v>
      </c>
      <c r="C14" s="66" t="s">
        <v>325</v>
      </c>
      <c r="D14" s="145" t="s">
        <v>324</v>
      </c>
      <c r="E14" s="145"/>
      <c r="F14" s="145"/>
      <c r="G14" s="146"/>
    </row>
    <row r="15" spans="1:7" ht="43" customHeight="1">
      <c r="A15" s="66" t="s">
        <v>124</v>
      </c>
      <c r="B15" s="67" t="s">
        <v>321</v>
      </c>
      <c r="C15" s="66" t="s">
        <v>17</v>
      </c>
      <c r="D15" s="145" t="s">
        <v>340</v>
      </c>
      <c r="E15" s="145"/>
      <c r="F15" s="145"/>
      <c r="G15" s="146"/>
    </row>
    <row r="16" spans="1:7" ht="33" customHeight="1">
      <c r="A16" s="66" t="s">
        <v>124</v>
      </c>
      <c r="B16" s="68" t="s">
        <v>317</v>
      </c>
      <c r="C16" s="66" t="s">
        <v>323</v>
      </c>
      <c r="D16" s="145" t="s">
        <v>334</v>
      </c>
      <c r="E16" s="145"/>
      <c r="F16" s="145"/>
      <c r="G16" s="146"/>
    </row>
    <row r="17" spans="1:7" ht="33.5" customHeight="1">
      <c r="A17" s="69" t="s">
        <v>125</v>
      </c>
      <c r="B17" s="67" t="s">
        <v>126</v>
      </c>
      <c r="C17" s="66" t="s">
        <v>127</v>
      </c>
      <c r="D17" s="145" t="s">
        <v>335</v>
      </c>
      <c r="E17" s="145"/>
      <c r="F17" s="145"/>
      <c r="G17" s="146"/>
    </row>
    <row r="18" spans="1:7" ht="32" customHeight="1">
      <c r="A18" s="69" t="s">
        <v>128</v>
      </c>
      <c r="B18" s="67" t="s">
        <v>129</v>
      </c>
      <c r="C18" s="66" t="s">
        <v>130</v>
      </c>
      <c r="D18" s="145" t="s">
        <v>336</v>
      </c>
      <c r="E18" s="145"/>
      <c r="F18" s="145"/>
      <c r="G18" s="146"/>
    </row>
    <row r="19" spans="1:7" ht="30.5" customHeight="1">
      <c r="A19" s="69" t="s">
        <v>128</v>
      </c>
      <c r="B19" s="67" t="s">
        <v>131</v>
      </c>
      <c r="C19" s="66" t="s">
        <v>132</v>
      </c>
      <c r="D19" s="145" t="s">
        <v>339</v>
      </c>
      <c r="E19" s="145"/>
      <c r="F19" s="145"/>
      <c r="G19" s="146"/>
    </row>
    <row r="20" spans="1:7" ht="44" customHeight="1">
      <c r="A20" s="69" t="s">
        <v>128</v>
      </c>
      <c r="B20" s="67" t="s">
        <v>133</v>
      </c>
      <c r="C20" s="66" t="s">
        <v>134</v>
      </c>
      <c r="D20" s="145" t="s">
        <v>337</v>
      </c>
      <c r="E20" s="145"/>
      <c r="F20" s="145"/>
      <c r="G20" s="146"/>
    </row>
    <row r="23" spans="1:7" ht="15.5">
      <c r="A23" s="115" t="s">
        <v>135</v>
      </c>
      <c r="B23" s="115"/>
      <c r="C23" s="115"/>
      <c r="D23" s="115"/>
      <c r="E23" s="115"/>
      <c r="F23" s="115"/>
      <c r="G23" s="115"/>
    </row>
    <row r="24" spans="1:7" ht="42">
      <c r="A24" s="1" t="s">
        <v>13</v>
      </c>
      <c r="B24" s="2" t="s">
        <v>136</v>
      </c>
      <c r="C24" s="2" t="s">
        <v>137</v>
      </c>
      <c r="D24" s="2" t="s">
        <v>83</v>
      </c>
      <c r="E24" s="131" t="s">
        <v>138</v>
      </c>
      <c r="F24" s="131"/>
      <c r="G24" s="110"/>
    </row>
    <row r="25" spans="1:7" ht="24" customHeight="1">
      <c r="A25" s="40" t="s">
        <v>139</v>
      </c>
      <c r="B25" s="13" t="s">
        <v>140</v>
      </c>
      <c r="C25" s="13" t="s">
        <v>141</v>
      </c>
      <c r="D25" s="13" t="s">
        <v>19</v>
      </c>
      <c r="E25" s="132" t="s">
        <v>142</v>
      </c>
      <c r="F25" s="132"/>
      <c r="G25" s="133"/>
    </row>
    <row r="26" spans="1:7" ht="24" customHeight="1">
      <c r="A26" s="41" t="s">
        <v>143</v>
      </c>
      <c r="B26" s="7" t="s">
        <v>144</v>
      </c>
      <c r="C26" s="7" t="s">
        <v>145</v>
      </c>
      <c r="D26" s="7" t="s">
        <v>19</v>
      </c>
      <c r="E26" s="134" t="s">
        <v>146</v>
      </c>
      <c r="F26" s="134"/>
      <c r="G26" s="135"/>
    </row>
    <row r="27" spans="1:7" ht="24" customHeight="1">
      <c r="A27" s="40" t="s">
        <v>147</v>
      </c>
      <c r="B27" s="13" t="s">
        <v>144</v>
      </c>
      <c r="C27" s="13" t="s">
        <v>148</v>
      </c>
      <c r="D27" s="13" t="s">
        <v>19</v>
      </c>
      <c r="E27" s="132" t="s">
        <v>149</v>
      </c>
      <c r="F27" s="132"/>
      <c r="G27" s="133"/>
    </row>
    <row r="28" spans="1:7" ht="24" customHeight="1">
      <c r="A28" s="41" t="s">
        <v>150</v>
      </c>
      <c r="B28" s="7" t="s">
        <v>144</v>
      </c>
      <c r="C28" s="7" t="s">
        <v>148</v>
      </c>
      <c r="D28" s="7" t="s">
        <v>21</v>
      </c>
      <c r="E28" s="134" t="s">
        <v>151</v>
      </c>
      <c r="F28" s="134"/>
      <c r="G28" s="135"/>
    </row>
    <row r="29" spans="1:7" ht="24" customHeight="1">
      <c r="A29" s="40" t="s">
        <v>152</v>
      </c>
      <c r="B29" s="13" t="s">
        <v>153</v>
      </c>
      <c r="C29" s="13" t="s">
        <v>154</v>
      </c>
      <c r="D29" s="13" t="s">
        <v>19</v>
      </c>
      <c r="E29" s="132" t="s">
        <v>155</v>
      </c>
      <c r="F29" s="132"/>
      <c r="G29" s="133"/>
    </row>
    <row r="30" spans="1:7" ht="24" customHeight="1">
      <c r="A30" s="41" t="s">
        <v>156</v>
      </c>
      <c r="B30" s="7" t="s">
        <v>144</v>
      </c>
      <c r="C30" s="7" t="s">
        <v>157</v>
      </c>
      <c r="D30" s="7" t="s">
        <v>21</v>
      </c>
      <c r="E30" s="134" t="s">
        <v>158</v>
      </c>
      <c r="F30" s="134"/>
      <c r="G30" s="135"/>
    </row>
    <row r="31" spans="1:7" ht="24" customHeight="1">
      <c r="A31" s="40" t="s">
        <v>159</v>
      </c>
      <c r="B31" s="13" t="s">
        <v>144</v>
      </c>
      <c r="C31" s="13" t="s">
        <v>160</v>
      </c>
      <c r="D31" s="13" t="s">
        <v>19</v>
      </c>
      <c r="E31" s="132" t="s">
        <v>161</v>
      </c>
      <c r="F31" s="132"/>
      <c r="G31" s="133"/>
    </row>
  </sheetData>
  <mergeCells count="27">
    <mergeCell ref="E27:G27"/>
    <mergeCell ref="E28:G28"/>
    <mergeCell ref="E29:G29"/>
    <mergeCell ref="E30:G30"/>
    <mergeCell ref="E31:G31"/>
    <mergeCell ref="D20:G20"/>
    <mergeCell ref="A23:G23"/>
    <mergeCell ref="E24:G24"/>
    <mergeCell ref="E25:G25"/>
    <mergeCell ref="E26:G26"/>
    <mergeCell ref="D13:G13"/>
    <mergeCell ref="D17:G17"/>
    <mergeCell ref="D18:G18"/>
    <mergeCell ref="D19:G19"/>
    <mergeCell ref="D7:G7"/>
    <mergeCell ref="D8:G8"/>
    <mergeCell ref="A10:G10"/>
    <mergeCell ref="D11:G11"/>
    <mergeCell ref="D12:G12"/>
    <mergeCell ref="D14:G14"/>
    <mergeCell ref="D15:G15"/>
    <mergeCell ref="D16:G16"/>
    <mergeCell ref="A1:G1"/>
    <mergeCell ref="A3:G3"/>
    <mergeCell ref="D4:G4"/>
    <mergeCell ref="D5:G5"/>
    <mergeCell ref="D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selection sqref="A1:H1"/>
    </sheetView>
  </sheetViews>
  <sheetFormatPr defaultRowHeight="14"/>
  <cols>
    <col min="1" max="1" width="28" customWidth="1"/>
    <col min="2" max="2" width="16" customWidth="1"/>
    <col min="3" max="3" width="11" customWidth="1"/>
    <col min="4" max="5" width="28" customWidth="1"/>
    <col min="6" max="8" width="26" customWidth="1"/>
  </cols>
  <sheetData>
    <row r="1" spans="1:8" ht="17" customHeight="1">
      <c r="A1" s="107" t="s">
        <v>162</v>
      </c>
      <c r="B1" s="107"/>
      <c r="C1" s="107"/>
      <c r="D1" s="107"/>
      <c r="E1" s="107"/>
      <c r="F1" s="107"/>
      <c r="G1" s="107"/>
      <c r="H1" s="107"/>
    </row>
    <row r="3" spans="1:8" ht="22" customHeight="1">
      <c r="A3" s="147" t="s">
        <v>163</v>
      </c>
      <c r="B3" s="148"/>
      <c r="C3" s="148"/>
      <c r="D3" s="148"/>
      <c r="E3" s="148"/>
      <c r="F3" s="148"/>
      <c r="G3" s="148"/>
      <c r="H3" s="149"/>
    </row>
    <row r="5" spans="1:8">
      <c r="A5" s="1" t="s">
        <v>164</v>
      </c>
      <c r="B5" s="2" t="s">
        <v>165</v>
      </c>
      <c r="C5" s="2" t="s">
        <v>166</v>
      </c>
      <c r="D5" s="2" t="s">
        <v>167</v>
      </c>
      <c r="E5" s="2" t="s">
        <v>168</v>
      </c>
      <c r="F5" s="131" t="s">
        <v>169</v>
      </c>
      <c r="G5" s="131"/>
      <c r="H5" s="110"/>
    </row>
    <row r="6" spans="1:8" ht="33" customHeight="1">
      <c r="A6" s="10" t="s">
        <v>170</v>
      </c>
      <c r="B6" s="13" t="s">
        <v>171</v>
      </c>
      <c r="C6" s="13">
        <v>10</v>
      </c>
      <c r="D6" s="13" t="s">
        <v>172</v>
      </c>
      <c r="E6" s="11" t="s">
        <v>173</v>
      </c>
      <c r="F6" s="132" t="s">
        <v>174</v>
      </c>
      <c r="G6" s="132"/>
      <c r="H6" s="133"/>
    </row>
    <row r="7" spans="1:8" ht="33" customHeight="1">
      <c r="A7" s="4" t="s">
        <v>175</v>
      </c>
      <c r="B7" s="7" t="s">
        <v>171</v>
      </c>
      <c r="C7" s="7">
        <v>30</v>
      </c>
      <c r="D7" s="7" t="s">
        <v>176</v>
      </c>
      <c r="E7" s="5" t="s">
        <v>177</v>
      </c>
      <c r="F7" s="134" t="s">
        <v>178</v>
      </c>
      <c r="G7" s="134"/>
      <c r="H7" s="135"/>
    </row>
    <row r="8" spans="1:8" ht="33" customHeight="1">
      <c r="A8" s="10" t="s">
        <v>179</v>
      </c>
      <c r="B8" s="13" t="s">
        <v>180</v>
      </c>
      <c r="C8" s="13">
        <v>20</v>
      </c>
      <c r="D8" s="13" t="s">
        <v>181</v>
      </c>
      <c r="E8" s="11" t="s">
        <v>182</v>
      </c>
      <c r="F8" s="132" t="s">
        <v>183</v>
      </c>
      <c r="G8" s="132"/>
      <c r="H8" s="133"/>
    </row>
    <row r="9" spans="1:8" ht="33" customHeight="1">
      <c r="A9" s="4" t="s">
        <v>184</v>
      </c>
      <c r="B9" s="7" t="s">
        <v>180</v>
      </c>
      <c r="C9" s="7">
        <v>25</v>
      </c>
      <c r="D9" s="7" t="s">
        <v>185</v>
      </c>
      <c r="E9" s="5" t="s">
        <v>186</v>
      </c>
      <c r="F9" s="134" t="s">
        <v>187</v>
      </c>
      <c r="G9" s="134"/>
      <c r="H9" s="135"/>
    </row>
    <row r="10" spans="1:8" ht="33" customHeight="1">
      <c r="A10" s="10" t="s">
        <v>188</v>
      </c>
      <c r="B10" s="13" t="s">
        <v>189</v>
      </c>
      <c r="C10" s="13">
        <v>15</v>
      </c>
      <c r="D10" s="13" t="s">
        <v>190</v>
      </c>
      <c r="E10" s="11" t="s">
        <v>191</v>
      </c>
      <c r="F10" s="132" t="s">
        <v>192</v>
      </c>
      <c r="G10" s="132"/>
      <c r="H10" s="133"/>
    </row>
    <row r="11" spans="1:8">
      <c r="A11" s="42" t="s">
        <v>193</v>
      </c>
      <c r="B11" s="43"/>
      <c r="C11" s="2">
        <f>SUM(C6:C10)</f>
        <v>100</v>
      </c>
      <c r="D11" s="43"/>
      <c r="E11" s="43"/>
      <c r="F11" s="43"/>
      <c r="G11" s="43"/>
      <c r="H11" s="44"/>
    </row>
    <row r="13" spans="1:8" ht="15.5">
      <c r="A13" s="115" t="s">
        <v>194</v>
      </c>
      <c r="B13" s="115"/>
      <c r="C13" s="115"/>
      <c r="D13" s="115"/>
      <c r="E13" s="115"/>
      <c r="F13" s="115"/>
      <c r="G13" s="115"/>
      <c r="H13" s="115"/>
    </row>
    <row r="14" spans="1:8">
      <c r="A14" s="136" t="s">
        <v>195</v>
      </c>
      <c r="B14" s="137"/>
      <c r="C14" s="137"/>
      <c r="D14" s="137"/>
      <c r="E14" s="137"/>
      <c r="F14" s="137"/>
      <c r="G14" s="137"/>
      <c r="H14" s="138"/>
    </row>
    <row r="15" spans="1:8">
      <c r="A15" s="139"/>
      <c r="B15" s="140"/>
      <c r="C15" s="140"/>
      <c r="D15" s="140"/>
      <c r="E15" s="140"/>
      <c r="F15" s="140"/>
      <c r="G15" s="140"/>
      <c r="H15" s="141"/>
    </row>
    <row r="16" spans="1:8">
      <c r="A16" s="142"/>
      <c r="B16" s="143"/>
      <c r="C16" s="143"/>
      <c r="D16" s="143"/>
      <c r="E16" s="143"/>
      <c r="F16" s="143"/>
      <c r="G16" s="143"/>
      <c r="H16" s="144"/>
    </row>
    <row r="18" spans="1:8" ht="15.5">
      <c r="A18" s="115" t="s">
        <v>196</v>
      </c>
      <c r="B18" s="115"/>
      <c r="C18" s="115"/>
      <c r="D18" s="115"/>
      <c r="E18" s="115"/>
      <c r="F18" s="115"/>
      <c r="G18" s="115"/>
      <c r="H18" s="115"/>
    </row>
    <row r="19" spans="1:8">
      <c r="A19" s="1" t="s">
        <v>197</v>
      </c>
      <c r="B19" s="2" t="s">
        <v>198</v>
      </c>
      <c r="C19" s="2" t="s">
        <v>199</v>
      </c>
      <c r="D19" s="3" t="s">
        <v>200</v>
      </c>
    </row>
    <row r="20" spans="1:8" ht="27" customHeight="1">
      <c r="A20" s="40" t="s">
        <v>201</v>
      </c>
      <c r="B20" s="13" t="s">
        <v>202</v>
      </c>
      <c r="C20" s="11" t="s">
        <v>203</v>
      </c>
      <c r="D20" s="12" t="s">
        <v>204</v>
      </c>
    </row>
    <row r="21" spans="1:8" ht="27" customHeight="1">
      <c r="A21" s="41" t="s">
        <v>205</v>
      </c>
      <c r="B21" s="7" t="s">
        <v>206</v>
      </c>
      <c r="C21" s="5" t="s">
        <v>207</v>
      </c>
      <c r="D21" s="6" t="s">
        <v>208</v>
      </c>
    </row>
    <row r="22" spans="1:8" ht="27" customHeight="1">
      <c r="A22" s="40" t="s">
        <v>209</v>
      </c>
      <c r="B22" s="13" t="s">
        <v>210</v>
      </c>
      <c r="C22" s="11" t="s">
        <v>211</v>
      </c>
      <c r="D22" s="12" t="s">
        <v>212</v>
      </c>
    </row>
    <row r="23" spans="1:8" ht="27" customHeight="1">
      <c r="A23" s="41" t="s">
        <v>213</v>
      </c>
      <c r="B23" s="7" t="s">
        <v>214</v>
      </c>
      <c r="C23" s="5" t="s">
        <v>215</v>
      </c>
      <c r="D23" s="6" t="s">
        <v>216</v>
      </c>
    </row>
    <row r="25" spans="1:8" ht="15.5">
      <c r="A25" s="115" t="s">
        <v>217</v>
      </c>
      <c r="B25" s="115"/>
      <c r="C25" s="115"/>
      <c r="D25" s="115"/>
      <c r="E25" s="115"/>
      <c r="F25" s="115"/>
      <c r="G25" s="115"/>
      <c r="H25" s="115"/>
    </row>
    <row r="26" spans="1:8">
      <c r="A26" s="150" t="s">
        <v>218</v>
      </c>
      <c r="B26" s="151"/>
      <c r="C26" s="151"/>
      <c r="D26" s="151"/>
      <c r="E26" s="151"/>
      <c r="F26" s="151"/>
      <c r="G26" s="151"/>
      <c r="H26" s="152"/>
    </row>
    <row r="27" spans="1:8">
      <c r="A27" s="153"/>
      <c r="B27" s="154"/>
      <c r="C27" s="154"/>
      <c r="D27" s="154"/>
      <c r="E27" s="154"/>
      <c r="F27" s="154"/>
      <c r="G27" s="154"/>
      <c r="H27" s="155"/>
    </row>
    <row r="28" spans="1:8">
      <c r="A28" s="153"/>
      <c r="B28" s="154"/>
      <c r="C28" s="154"/>
      <c r="D28" s="154"/>
      <c r="E28" s="154"/>
      <c r="F28" s="154"/>
      <c r="G28" s="154"/>
      <c r="H28" s="155"/>
    </row>
    <row r="29" spans="1:8">
      <c r="A29" s="156"/>
      <c r="B29" s="157"/>
      <c r="C29" s="157"/>
      <c r="D29" s="157"/>
      <c r="E29" s="157"/>
      <c r="F29" s="157"/>
      <c r="G29" s="157"/>
      <c r="H29" s="158"/>
    </row>
  </sheetData>
  <mergeCells count="13">
    <mergeCell ref="A18:H18"/>
    <mergeCell ref="A25:H25"/>
    <mergeCell ref="A26:H29"/>
    <mergeCell ref="F8:H8"/>
    <mergeCell ref="F9:H9"/>
    <mergeCell ref="F10:H10"/>
    <mergeCell ref="A13:H13"/>
    <mergeCell ref="A14:H16"/>
    <mergeCell ref="A1:H1"/>
    <mergeCell ref="A3:H3"/>
    <mergeCell ref="F5:H5"/>
    <mergeCell ref="F6:H6"/>
    <mergeCell ref="F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topLeftCell="C7" workbookViewId="0">
      <selection activeCell="E9" sqref="E9:E11"/>
    </sheetView>
  </sheetViews>
  <sheetFormatPr defaultRowHeight="14"/>
  <cols>
    <col min="1" max="1" width="12" customWidth="1"/>
    <col min="2" max="2" width="34" customWidth="1"/>
    <col min="3" max="3" width="50" customWidth="1"/>
    <col min="4" max="4" width="48" customWidth="1"/>
    <col min="5" max="6" width="55" customWidth="1"/>
    <col min="7" max="7" width="13" customWidth="1"/>
    <col min="8" max="8" width="12" customWidth="1"/>
  </cols>
  <sheetData>
    <row r="1" spans="1:8" ht="17" customHeight="1">
      <c r="A1" s="107" t="s">
        <v>219</v>
      </c>
      <c r="B1" s="107"/>
      <c r="C1" s="107"/>
      <c r="D1" s="107"/>
      <c r="E1" s="107"/>
      <c r="F1" s="107"/>
      <c r="G1" s="107"/>
      <c r="H1" s="107"/>
    </row>
    <row r="2" spans="1:8" ht="15" customHeight="1">
      <c r="A2" s="147" t="s">
        <v>220</v>
      </c>
      <c r="B2" s="148"/>
      <c r="C2" s="148"/>
      <c r="D2" s="148"/>
      <c r="E2" s="148"/>
      <c r="F2" s="148"/>
      <c r="G2" s="148"/>
      <c r="H2" s="149"/>
    </row>
    <row r="4" spans="1:8" ht="22" customHeight="1">
      <c r="A4" s="1" t="s">
        <v>221</v>
      </c>
      <c r="B4" s="2" t="s">
        <v>222</v>
      </c>
      <c r="C4" s="2" t="s">
        <v>13</v>
      </c>
      <c r="D4" s="2" t="s">
        <v>223</v>
      </c>
      <c r="E4" s="2" t="s">
        <v>224</v>
      </c>
      <c r="F4" s="2" t="s">
        <v>225</v>
      </c>
      <c r="G4" s="2" t="s">
        <v>226</v>
      </c>
      <c r="H4" s="3" t="s">
        <v>227</v>
      </c>
    </row>
    <row r="5" spans="1:8" ht="69" customHeight="1">
      <c r="A5" s="40" t="s">
        <v>139</v>
      </c>
      <c r="B5" s="11" t="s">
        <v>228</v>
      </c>
      <c r="C5" s="11" t="s">
        <v>229</v>
      </c>
      <c r="D5" s="11" t="s">
        <v>230</v>
      </c>
      <c r="E5" s="11" t="s">
        <v>231</v>
      </c>
      <c r="F5" s="11" t="s">
        <v>232</v>
      </c>
      <c r="G5" s="13" t="s">
        <v>19</v>
      </c>
      <c r="H5" s="14" t="s">
        <v>233</v>
      </c>
    </row>
    <row r="6" spans="1:8" ht="69" customHeight="1">
      <c r="A6" s="41" t="s">
        <v>143</v>
      </c>
      <c r="B6" s="5" t="s">
        <v>228</v>
      </c>
      <c r="C6" s="5" t="s">
        <v>234</v>
      </c>
      <c r="D6" s="5" t="s">
        <v>235</v>
      </c>
      <c r="E6" s="5" t="s">
        <v>236</v>
      </c>
      <c r="F6" s="5" t="s">
        <v>237</v>
      </c>
      <c r="G6" s="7" t="s">
        <v>19</v>
      </c>
      <c r="H6" s="8" t="s">
        <v>63</v>
      </c>
    </row>
    <row r="7" spans="1:8" ht="69" customHeight="1">
      <c r="A7" s="40" t="s">
        <v>147</v>
      </c>
      <c r="B7" s="11" t="s">
        <v>238</v>
      </c>
      <c r="C7" s="11" t="s">
        <v>239</v>
      </c>
      <c r="D7" s="11" t="s">
        <v>240</v>
      </c>
      <c r="E7" s="11" t="s">
        <v>241</v>
      </c>
      <c r="F7" s="11" t="s">
        <v>242</v>
      </c>
      <c r="G7" s="13" t="s">
        <v>19</v>
      </c>
      <c r="H7" s="14" t="s">
        <v>65</v>
      </c>
    </row>
    <row r="8" spans="1:8" ht="69" customHeight="1">
      <c r="A8" s="41" t="s">
        <v>150</v>
      </c>
      <c r="B8" s="5" t="s">
        <v>238</v>
      </c>
      <c r="C8" s="5" t="s">
        <v>243</v>
      </c>
      <c r="D8" s="5" t="s">
        <v>244</v>
      </c>
      <c r="E8" s="5" t="s">
        <v>245</v>
      </c>
      <c r="F8" s="5" t="s">
        <v>246</v>
      </c>
      <c r="G8" s="7" t="s">
        <v>21</v>
      </c>
      <c r="H8" s="8" t="s">
        <v>65</v>
      </c>
    </row>
    <row r="9" spans="1:8" ht="69" customHeight="1">
      <c r="A9" s="40" t="s">
        <v>152</v>
      </c>
      <c r="B9" s="11" t="s">
        <v>247</v>
      </c>
      <c r="C9" s="11" t="s">
        <v>248</v>
      </c>
      <c r="D9" s="11" t="s">
        <v>249</v>
      </c>
      <c r="E9" s="11" t="s">
        <v>250</v>
      </c>
      <c r="F9" s="11" t="s">
        <v>251</v>
      </c>
      <c r="G9" s="13" t="s">
        <v>19</v>
      </c>
      <c r="H9" s="14" t="s">
        <v>252</v>
      </c>
    </row>
    <row r="10" spans="1:8" ht="69" customHeight="1">
      <c r="A10" s="41" t="s">
        <v>156</v>
      </c>
      <c r="B10" s="5" t="s">
        <v>247</v>
      </c>
      <c r="C10" s="5" t="s">
        <v>253</v>
      </c>
      <c r="D10" s="5" t="s">
        <v>254</v>
      </c>
      <c r="E10" s="5" t="s">
        <v>255</v>
      </c>
      <c r="F10" s="5" t="s">
        <v>256</v>
      </c>
      <c r="G10" s="7" t="s">
        <v>21</v>
      </c>
      <c r="H10" s="8" t="s">
        <v>67</v>
      </c>
    </row>
    <row r="11" spans="1:8" ht="69" customHeight="1">
      <c r="A11" s="40" t="s">
        <v>159</v>
      </c>
      <c r="B11" s="11" t="s">
        <v>247</v>
      </c>
      <c r="C11" s="11" t="s">
        <v>257</v>
      </c>
      <c r="D11" s="11" t="s">
        <v>258</v>
      </c>
      <c r="E11" s="11" t="s">
        <v>259</v>
      </c>
      <c r="F11" s="11" t="s">
        <v>260</v>
      </c>
      <c r="G11" s="13" t="s">
        <v>19</v>
      </c>
      <c r="H11" s="14" t="s">
        <v>261</v>
      </c>
    </row>
    <row r="14" spans="1:8" ht="15.5">
      <c r="A14" s="115" t="s">
        <v>262</v>
      </c>
      <c r="B14" s="115"/>
      <c r="C14" s="115"/>
      <c r="D14" s="115"/>
      <c r="E14" s="115"/>
      <c r="F14" s="115"/>
      <c r="G14" s="115"/>
      <c r="H14" s="115"/>
    </row>
    <row r="15" spans="1:8">
      <c r="A15" s="1" t="s">
        <v>221</v>
      </c>
      <c r="B15" s="2" t="s">
        <v>263</v>
      </c>
      <c r="C15" s="3" t="s">
        <v>264</v>
      </c>
    </row>
    <row r="16" spans="1:8" ht="33" customHeight="1">
      <c r="A16" s="40" t="s">
        <v>17</v>
      </c>
      <c r="B16" s="11" t="s">
        <v>228</v>
      </c>
      <c r="C16" s="12" t="s">
        <v>265</v>
      </c>
    </row>
    <row r="17" spans="1:3" ht="33" customHeight="1">
      <c r="A17" s="41" t="s">
        <v>29</v>
      </c>
      <c r="B17" s="5" t="s">
        <v>238</v>
      </c>
      <c r="C17" s="6" t="s">
        <v>266</v>
      </c>
    </row>
    <row r="18" spans="1:3" ht="33" customHeight="1">
      <c r="A18" s="40" t="s">
        <v>24</v>
      </c>
      <c r="B18" s="11" t="s">
        <v>247</v>
      </c>
      <c r="C18" s="12" t="s">
        <v>267</v>
      </c>
    </row>
  </sheetData>
  <mergeCells count="3">
    <mergeCell ref="A1:H1"/>
    <mergeCell ref="A2:H2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Главный раздел РПД</vt:lpstr>
      <vt:lpstr>Паспорт РПД</vt:lpstr>
      <vt:lpstr>Пререквизиты и связи</vt:lpstr>
      <vt:lpstr>Система оценивания</vt:lpstr>
      <vt:lpstr>Справочник КРМ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Анна Николаевна</cp:lastModifiedBy>
  <dcterms:modified xsi:type="dcterms:W3CDTF">2026-07-15T05:56:03Z</dcterms:modified>
</cp:coreProperties>
</file>